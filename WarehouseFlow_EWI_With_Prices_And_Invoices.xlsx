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3" activeTab="3" autoFilterDateGrouping="1"/>
  </bookViews>
  <sheets>
    <sheet name="START" sheetId="1" state="visible" r:id="rId1"/>
    <sheet name="MOVEMENTS" sheetId="2" state="visible" r:id="rId2"/>
    <sheet name="STOCK" sheetId="3" state="visible" r:id="rId3"/>
    <sheet name="MATERIAL_PRICES" sheetId="4" state="visible" r:id="rId4"/>
    <sheet name="SUPPLIERS" sheetId="5" state="visible" r:id="rId5"/>
    <sheet name="INVOICES" sheetId="6" state="visible" r:id="rId6"/>
    <sheet name="INVOICE_ITEMS" sheetId="7" state="visible" r:id="rId7"/>
    <sheet name="PRICE_HISTORY" sheetId="8" state="visible" r:id="rId8"/>
  </sheets>
  <definedNames>
    <definedName name="_xlnm._FilterDatabase" localSheetId="3" hidden="1">'MATERIAL_PRICES'!$A$1:$J$13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2">
    <numFmt numFmtId="164" formatCode="\€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D0D42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C2A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2" borderId="0" pivotButton="0" quotePrefix="0" xfId="0"/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3" fillId="8" borderId="0" applyAlignment="1" pivotButton="0" quotePrefix="0" xfId="0">
      <alignment vertical="top"/>
    </xf>
    <xf numFmtId="0" fontId="3" fillId="10" borderId="0" applyAlignment="1" pivotButton="0" quotePrefix="0" xfId="0">
      <alignment vertical="top"/>
    </xf>
    <xf numFmtId="0" fontId="3" fillId="9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11" borderId="0" applyAlignment="1" pivotButton="0" quotePrefix="0" xfId="0">
      <alignment vertical="top"/>
    </xf>
    <xf numFmtId="0" fontId="0" fillId="12" borderId="0" applyAlignment="1" pivotButton="0" quotePrefix="0" xfId="0">
      <alignment vertical="top"/>
    </xf>
    <xf numFmtId="0" fontId="4" fillId="0" borderId="0" pivotButton="0" quotePrefix="0" xfId="0"/>
    <xf numFmtId="0" fontId="4" fillId="13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14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1" fillId="1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1" displayName="Table1" ref="A1:L1048575" headerRowCount="1" totalsRowShown="0">
  <autoFilter ref="A1:L1048575"/>
  <tableColumns count="12">
    <tableColumn id="1" name="Date"/>
    <tableColumn id="2" name="House ID"/>
    <tableColumn id="3" name="Postcode / Eircode"/>
    <tableColumn id="4" name="Material"/>
    <tableColumn id="5" name="Qty"/>
    <tableColumn id="6" name="Movement"/>
    <tableColumn id="7" name="Notes"/>
    <tableColumn id="8" name="Material ID"/>
    <tableColumn id="9" name="House Owner Name"/>
    <tableColumn id="10" name="Delivered By"/>
    <tableColumn id="11" name="Worker Team"/>
    <tableColumn id="12" name="Column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6" sqref="A6"/>
    </sheetView>
  </sheetViews>
  <sheetFormatPr baseColWidth="8" defaultRowHeight="15"/>
  <cols>
    <col width="85" customWidth="1" style="4" min="1" max="1"/>
  </cols>
  <sheetData>
    <row r="1">
      <c r="A1" s="2" t="inlineStr">
        <is>
          <t>EASY EWI STOCK TRACKER — NO ROW LIMIT</t>
        </is>
      </c>
    </row>
    <row r="2">
      <c r="A2" s="3" t="inlineStr">
        <is>
          <t>You can keep adding movement rows to the MOVEMENTS table.</t>
        </is>
      </c>
    </row>
    <row r="3">
      <c r="A3" s="3" t="inlineStr">
        <is>
          <t>Do NOT type into the STOCK sheet except the starting quantities.</t>
        </is>
      </c>
    </row>
    <row r="4">
      <c r="A4" s="3" t="inlineStr">
        <is>
          <t>For a new delivery/use/return, add a new row inside the MOVEMENTS table.</t>
        </is>
      </c>
    </row>
    <row r="5">
      <c r="A5" s="3" t="inlineStr">
        <is>
          <t>The STOCK formulas use whole columns, so new movement rows are included automatically.</t>
        </is>
      </c>
    </row>
    <row r="6">
      <c r="A6" s="3" t="n"/>
    </row>
    <row r="7">
      <c r="A7" s="3" t="inlineStr">
        <is>
          <t>Example: Glue starts 100.</t>
        </is>
      </c>
    </row>
    <row r="8">
      <c r="A8" s="3" t="inlineStr">
        <is>
          <t>Deliver 14 → stock 86.</t>
        </is>
      </c>
    </row>
    <row r="9">
      <c r="A9" s="3" t="inlineStr">
        <is>
          <t>Deliver 2 more → stock 84.</t>
        </is>
      </c>
    </row>
    <row r="10">
      <c r="A10" s="3" t="inlineStr">
        <is>
          <t>Return 2 → stock 86.</t>
        </is>
      </c>
    </row>
    <row r="11">
      <c r="A11" s="3" t="inlineStr">
        <is>
          <t>Use 3 → stock 83.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C25" sqref="C25"/>
    </sheetView>
  </sheetViews>
  <sheetFormatPr baseColWidth="8" defaultColWidth="14.28515625" defaultRowHeight="15"/>
  <cols>
    <col width="20" customWidth="1" min="1" max="3"/>
    <col width="33.140625" customWidth="1" min="4" max="4"/>
    <col width="20" customWidth="1" min="5" max="6"/>
    <col width="30" customWidth="1" min="7" max="7"/>
    <col width="18.42578125" customWidth="1" min="8" max="8"/>
    <col width="24" customWidth="1" min="9" max="9"/>
    <col width="20" customWidth="1" min="10" max="10"/>
    <col width="34.140625" customWidth="1" min="11" max="11"/>
    <col width="20" customWidth="1" min="12" max="12"/>
  </cols>
  <sheetData>
    <row r="1">
      <c r="A1" s="1" t="inlineStr">
        <is>
          <t>Date</t>
        </is>
      </c>
      <c r="B1" s="1" t="inlineStr">
        <is>
          <t>House ID</t>
        </is>
      </c>
      <c r="C1" s="1" t="inlineStr">
        <is>
          <t>Postcode / Eircode</t>
        </is>
      </c>
      <c r="D1" s="1" t="inlineStr">
        <is>
          <t>Material</t>
        </is>
      </c>
      <c r="E1" s="1" t="inlineStr">
        <is>
          <t>Qty</t>
        </is>
      </c>
      <c r="F1" s="1" t="inlineStr">
        <is>
          <t>Movement</t>
        </is>
      </c>
      <c r="G1" s="1" t="inlineStr">
        <is>
          <t>Notes</t>
        </is>
      </c>
      <c r="H1" s="5" t="inlineStr">
        <is>
          <t>Material ID</t>
        </is>
      </c>
      <c r="I1" s="6" t="inlineStr">
        <is>
          <t>House Owner Name</t>
        </is>
      </c>
      <c r="J1" s="6" t="inlineStr">
        <is>
          <t>Delivered By</t>
        </is>
      </c>
      <c r="K1" s="6" t="inlineStr">
        <is>
          <t>Worker Team</t>
        </is>
      </c>
      <c r="L1" t="inlineStr">
        <is>
          <t>Column1</t>
        </is>
      </c>
    </row>
    <row r="2">
      <c r="A2" s="8" t="inlineStr">
        <is>
          <t>03/09/2026</t>
        </is>
      </c>
      <c r="B2" s="8" t="inlineStr">
        <is>
          <t>test</t>
        </is>
      </c>
      <c r="C2" s="8" t="inlineStr">
        <is>
          <t>F26 ABC1</t>
        </is>
      </c>
      <c r="D2" s="8" t="inlineStr">
        <is>
          <t>Mortage bags(Glue)</t>
        </is>
      </c>
      <c r="E2" s="8" t="n">
        <v>0</v>
      </c>
      <c r="F2" s="8" t="inlineStr">
        <is>
          <t>Delivery to House</t>
        </is>
      </c>
      <c r="G2" s="8" t="inlineStr">
        <is>
          <t>First delivery</t>
        </is>
      </c>
      <c r="H2" s="8" t="n"/>
    </row>
    <row r="3">
      <c r="A3" s="8" t="inlineStr">
        <is>
          <t>03/09/2026</t>
        </is>
      </c>
      <c r="B3" s="8" t="inlineStr">
        <is>
          <t>test</t>
        </is>
      </c>
      <c r="C3" s="8" t="inlineStr">
        <is>
          <t>F26 ABC1</t>
        </is>
      </c>
      <c r="D3" s="8" t="inlineStr">
        <is>
          <t>Mortage bags(Glue)</t>
        </is>
      </c>
      <c r="E3" s="8" t="n">
        <v>0</v>
      </c>
      <c r="F3" s="8" t="inlineStr">
        <is>
          <t>Return to Warehouse</t>
        </is>
      </c>
      <c r="G3" s="8" t="inlineStr">
        <is>
          <t>Left over</t>
        </is>
      </c>
      <c r="H3" t="inlineStr">
        <is>
          <t>13045</t>
        </is>
      </c>
    </row>
    <row r="4">
      <c r="A4" s="8" t="inlineStr">
        <is>
          <t>05/09/2026</t>
        </is>
      </c>
      <c r="B4" s="8" t="inlineStr">
        <is>
          <t>test</t>
        </is>
      </c>
      <c r="C4" s="8" t="inlineStr">
        <is>
          <t>F26 ABC1</t>
        </is>
      </c>
      <c r="D4" s="8" t="inlineStr">
        <is>
          <t>Soil bend 110mm x 90deg S/S black</t>
        </is>
      </c>
      <c r="E4" s="8" t="n">
        <v>0</v>
      </c>
      <c r="F4" s="8" t="inlineStr">
        <is>
          <t>Delivery to House</t>
        </is>
      </c>
      <c r="G4" s="8" t="inlineStr">
        <is>
          <t>Extra delivery</t>
        </is>
      </c>
    </row>
    <row r="5">
      <c r="A5" s="8" t="inlineStr">
        <is>
          <t>12/09/2026</t>
        </is>
      </c>
      <c r="B5" s="8" t="inlineStr">
        <is>
          <t>test</t>
        </is>
      </c>
      <c r="C5" s="8" t="inlineStr">
        <is>
          <t>F26 ABC1</t>
        </is>
      </c>
      <c r="D5" s="8" t="inlineStr">
        <is>
          <t>Soil bend 110mm x 90deg S/S black</t>
        </is>
      </c>
      <c r="E5" s="8" t="n">
        <v>0</v>
      </c>
      <c r="F5" s="8" t="inlineStr">
        <is>
          <t>Return to Warehouse</t>
        </is>
      </c>
      <c r="G5" s="8" t="inlineStr">
        <is>
          <t>Left over</t>
        </is>
      </c>
    </row>
    <row r="6">
      <c r="A6" s="8" t="inlineStr">
        <is>
          <t>04/09/2026</t>
        </is>
      </c>
      <c r="B6" s="8" t="inlineStr">
        <is>
          <t>test</t>
        </is>
      </c>
      <c r="C6" s="8" t="inlineStr">
        <is>
          <t>F26 DEF2</t>
        </is>
      </c>
      <c r="D6" s="8" t="inlineStr">
        <is>
          <t>Board 20mm white</t>
        </is>
      </c>
      <c r="E6" s="8" t="n">
        <v>0</v>
      </c>
      <c r="F6" s="8" t="inlineStr">
        <is>
          <t>Delivery to House</t>
        </is>
      </c>
      <c r="G6" s="8" t="inlineStr">
        <is>
          <t>First delivery</t>
        </is>
      </c>
      <c r="H6" t="inlineStr">
        <is>
          <t>12236</t>
        </is>
      </c>
    </row>
    <row r="7">
      <c r="A7" s="8" t="inlineStr">
        <is>
          <t>07/09/2026</t>
        </is>
      </c>
      <c r="B7" s="8" t="inlineStr">
        <is>
          <t>test</t>
        </is>
      </c>
      <c r="C7" s="8" t="inlineStr">
        <is>
          <t>F26 DEF2</t>
        </is>
      </c>
      <c r="D7" s="8" t="inlineStr">
        <is>
          <t>Glue</t>
        </is>
      </c>
      <c r="E7" s="8" t="n">
        <v>0</v>
      </c>
      <c r="F7" s="8" t="inlineStr">
        <is>
          <t>Delivery to House</t>
        </is>
      </c>
      <c r="G7" s="8" t="inlineStr">
        <is>
          <t>Extra delivery</t>
        </is>
      </c>
    </row>
    <row r="8">
      <c r="A8" s="8" t="inlineStr">
        <is>
          <t>04/09/2026</t>
        </is>
      </c>
      <c r="B8" s="8" t="inlineStr">
        <is>
          <t>test</t>
        </is>
      </c>
      <c r="C8" s="8" t="inlineStr">
        <is>
          <t>F26 GHI3</t>
        </is>
      </c>
      <c r="D8" s="8" t="inlineStr">
        <is>
          <t>Window profile (2.4m)</t>
        </is>
      </c>
      <c r="E8" s="8" t="n">
        <v>0</v>
      </c>
      <c r="F8" s="8" t="inlineStr">
        <is>
          <t>Delivery to House</t>
        </is>
      </c>
      <c r="G8" s="8" t="inlineStr">
        <is>
          <t>First delivery</t>
        </is>
      </c>
      <c r="H8" t="inlineStr">
        <is>
          <t>20921</t>
        </is>
      </c>
    </row>
    <row r="9">
      <c r="A9" s="8" t="inlineStr">
        <is>
          <t>14/09/2026</t>
        </is>
      </c>
      <c r="B9" s="8" t="inlineStr">
        <is>
          <t>test</t>
        </is>
      </c>
      <c r="C9" s="8" t="inlineStr">
        <is>
          <t>F26 GHI3</t>
        </is>
      </c>
      <c r="D9" s="8" t="inlineStr">
        <is>
          <t>Window profile (2.4m)</t>
        </is>
      </c>
      <c r="E9" s="8" t="n">
        <v>0</v>
      </c>
      <c r="F9" s="8" t="inlineStr">
        <is>
          <t>Return to Warehouse</t>
        </is>
      </c>
      <c r="G9" s="8" t="inlineStr">
        <is>
          <t>Left over</t>
        </is>
      </c>
      <c r="H9" t="inlineStr">
        <is>
          <t>20921</t>
        </is>
      </c>
    </row>
    <row r="10">
      <c r="A10" s="8" t="inlineStr">
        <is>
          <t>14/09/2027</t>
        </is>
      </c>
      <c r="B10" t="inlineStr">
        <is>
          <t>test</t>
        </is>
      </c>
      <c r="C10" t="inlineStr">
        <is>
          <t>asfasdsa</t>
        </is>
      </c>
      <c r="D10" s="8" t="inlineStr">
        <is>
          <t>Starter track 100mm (2m)</t>
        </is>
      </c>
      <c r="E10" t="n">
        <v>0</v>
      </c>
      <c r="F10" s="8" t="inlineStr">
        <is>
          <t>Delivery to House</t>
        </is>
      </c>
      <c r="G10" s="8" t="inlineStr">
        <is>
          <t>First delivery</t>
        </is>
      </c>
      <c r="H10" s="18" t="inlineStr">
        <is>
          <t>22593</t>
        </is>
      </c>
    </row>
    <row r="11">
      <c r="A11" s="8" t="inlineStr">
        <is>
          <t>14/09/2027</t>
        </is>
      </c>
      <c r="B11" t="inlineStr">
        <is>
          <t>test</t>
        </is>
      </c>
      <c r="C11" t="inlineStr">
        <is>
          <t>asfasdsa</t>
        </is>
      </c>
      <c r="D11" s="8" t="inlineStr">
        <is>
          <t>Starter track 100mm (2m)</t>
        </is>
      </c>
      <c r="E11" t="n">
        <v>0</v>
      </c>
      <c r="F11" s="8" t="inlineStr">
        <is>
          <t>Return to Warehouse</t>
        </is>
      </c>
      <c r="G11" s="8" t="inlineStr">
        <is>
          <t>Left over</t>
        </is>
      </c>
      <c r="H11" s="18" t="inlineStr">
        <is>
          <t>22593</t>
        </is>
      </c>
    </row>
    <row r="12">
      <c r="A12" s="8" t="inlineStr">
        <is>
          <t>14/09/2028</t>
        </is>
      </c>
      <c r="B12" t="inlineStr">
        <is>
          <t>test</t>
        </is>
      </c>
      <c r="C12" t="inlineStr">
        <is>
          <t>aaaaa</t>
        </is>
      </c>
      <c r="D12" s="8" t="inlineStr">
        <is>
          <t>Downpipe brackets short brown</t>
        </is>
      </c>
      <c r="E12" t="n">
        <v>0</v>
      </c>
      <c r="F12" s="8" t="inlineStr">
        <is>
          <t>Delivery to House</t>
        </is>
      </c>
      <c r="G12" s="8" t="inlineStr">
        <is>
          <t>First delivery</t>
        </is>
      </c>
    </row>
    <row r="13">
      <c r="A13" s="8" t="inlineStr">
        <is>
          <t>14/09/2028</t>
        </is>
      </c>
      <c r="B13" t="inlineStr">
        <is>
          <t>test</t>
        </is>
      </c>
      <c r="C13" t="inlineStr">
        <is>
          <t>aaaaa</t>
        </is>
      </c>
      <c r="D13" s="8" t="inlineStr">
        <is>
          <t>Downpipe brackets short brown</t>
        </is>
      </c>
      <c r="E13" t="n">
        <v>0</v>
      </c>
      <c r="F13" s="8" t="inlineStr">
        <is>
          <t>Return to Warehouse</t>
        </is>
      </c>
      <c r="G13" s="8" t="inlineStr">
        <is>
          <t>Left over</t>
        </is>
      </c>
      <c r="L13" s="22" t="inlineStr">
        <is>
          <t>Delivery to House</t>
        </is>
      </c>
    </row>
    <row r="14">
      <c r="A14" s="8" t="inlineStr">
        <is>
          <t>14/09/2029</t>
        </is>
      </c>
      <c r="B14" t="inlineStr">
        <is>
          <t>test</t>
        </is>
      </c>
      <c r="C14" t="inlineStr">
        <is>
          <t>dwedw</t>
        </is>
      </c>
      <c r="D14" s="8" t="inlineStr">
        <is>
          <t>Boby bag</t>
        </is>
      </c>
      <c r="E14" t="n">
        <v>0</v>
      </c>
      <c r="F14" s="8" t="inlineStr">
        <is>
          <t>Delivery to House</t>
        </is>
      </c>
      <c r="G14" s="8" t="inlineStr">
        <is>
          <t>First delivery</t>
        </is>
      </c>
      <c r="L14" s="23" t="inlineStr">
        <is>
          <t>Return to Warehouse</t>
        </is>
      </c>
    </row>
    <row r="15">
      <c r="A15" s="24" t="n">
        <v>46275</v>
      </c>
      <c r="B15" t="inlineStr">
        <is>
          <t>Wh625830</t>
        </is>
      </c>
      <c r="C15" s="8" t="inlineStr">
        <is>
          <t>f56a097</t>
        </is>
      </c>
      <c r="D15" s="9" t="inlineStr">
        <is>
          <t>Gun foam fp404 pink</t>
        </is>
      </c>
      <c r="E15" t="n">
        <v>5</v>
      </c>
      <c r="F15" s="22" t="inlineStr">
        <is>
          <t>Delivery to House</t>
        </is>
      </c>
      <c r="G15" s="8" t="inlineStr">
        <is>
          <t>Second delivery</t>
        </is>
      </c>
      <c r="I15" t="inlineStr">
        <is>
          <t>Christy McGuinn</t>
        </is>
      </c>
      <c r="J15" t="inlineStr">
        <is>
          <t>Karol</t>
        </is>
      </c>
      <c r="K15" t="inlineStr">
        <is>
          <t>Davit's team(Jemo)</t>
        </is>
      </c>
    </row>
    <row r="16">
      <c r="A16" s="25" t="n">
        <v>46275</v>
      </c>
      <c r="B16" t="inlineStr">
        <is>
          <t xml:space="preserve">WH620171 </t>
        </is>
      </c>
      <c r="C16" t="inlineStr">
        <is>
          <t>F26KX82</t>
        </is>
      </c>
      <c r="D16" s="8" t="inlineStr">
        <is>
          <t>Board 100mm</t>
        </is>
      </c>
      <c r="E16" t="n">
        <v>12</v>
      </c>
      <c r="F16" s="23" t="inlineStr">
        <is>
          <t>Return to Warehouse</t>
        </is>
      </c>
      <c r="G16" s="8" t="inlineStr">
        <is>
          <t>Left over</t>
        </is>
      </c>
      <c r="I16" t="inlineStr">
        <is>
          <t>Sarah Ginnely</t>
        </is>
      </c>
      <c r="J16" t="inlineStr">
        <is>
          <t>Gary</t>
        </is>
      </c>
      <c r="K16" t="inlineStr">
        <is>
          <t>Davit's team(Jemo)</t>
        </is>
      </c>
    </row>
    <row r="17">
      <c r="A17" s="25" t="n">
        <v>46275</v>
      </c>
      <c r="B17" t="inlineStr">
        <is>
          <t xml:space="preserve">WH620171 </t>
        </is>
      </c>
      <c r="C17" t="inlineStr">
        <is>
          <t>F26KX82</t>
        </is>
      </c>
      <c r="D17" s="8" t="inlineStr">
        <is>
          <t>Mortage bags(Glue)</t>
        </is>
      </c>
      <c r="E17" t="n">
        <v>2.5</v>
      </c>
      <c r="F17" s="23" t="inlineStr">
        <is>
          <t>Return to Warehouse</t>
        </is>
      </c>
      <c r="G17" s="8" t="inlineStr">
        <is>
          <t>Left over</t>
        </is>
      </c>
      <c r="I17" t="inlineStr">
        <is>
          <t>Sarah Ginnely</t>
        </is>
      </c>
      <c r="J17" t="inlineStr">
        <is>
          <t>Gary</t>
        </is>
      </c>
      <c r="K17" t="inlineStr">
        <is>
          <t>Davit's team(Jemo)</t>
        </is>
      </c>
    </row>
    <row r="18">
      <c r="A18" s="25" t="n">
        <v>46275</v>
      </c>
      <c r="B18" t="inlineStr">
        <is>
          <t xml:space="preserve">WH620171 </t>
        </is>
      </c>
      <c r="C18" t="inlineStr">
        <is>
          <t>F26KX82</t>
        </is>
      </c>
      <c r="D18" s="8" t="inlineStr">
        <is>
          <t>Primer</t>
        </is>
      </c>
      <c r="E18" t="n">
        <v>1.5</v>
      </c>
      <c r="F18" s="23" t="inlineStr">
        <is>
          <t>Return to Warehouse</t>
        </is>
      </c>
      <c r="G18" s="8" t="inlineStr">
        <is>
          <t>Left over</t>
        </is>
      </c>
      <c r="I18" t="inlineStr">
        <is>
          <t>Sarah Ginnely</t>
        </is>
      </c>
      <c r="J18" t="inlineStr">
        <is>
          <t>Gary</t>
        </is>
      </c>
      <c r="K18" t="inlineStr">
        <is>
          <t>Davit's team(Jemo)</t>
        </is>
      </c>
    </row>
    <row r="19">
      <c r="A19" s="25" t="n">
        <v>46275</v>
      </c>
      <c r="B19" t="inlineStr">
        <is>
          <t xml:space="preserve">WH620171 </t>
        </is>
      </c>
      <c r="C19" t="inlineStr">
        <is>
          <t>F26KX82</t>
        </is>
      </c>
      <c r="D19" s="8" t="inlineStr">
        <is>
          <t>Downpipe white</t>
        </is>
      </c>
      <c r="E19" t="n">
        <v>1</v>
      </c>
      <c r="F19" s="23" t="inlineStr">
        <is>
          <t>Return to Warehouse</t>
        </is>
      </c>
      <c r="I19" t="inlineStr">
        <is>
          <t>Sarah Ginnely</t>
        </is>
      </c>
      <c r="J19" t="inlineStr">
        <is>
          <t>Gary</t>
        </is>
      </c>
      <c r="K19" t="inlineStr">
        <is>
          <t>Davit's team(Jemo)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38" activePane="bottomLeft" state="frozen"/>
      <selection pane="bottomLeft" activeCell="B58" sqref="B58"/>
    </sheetView>
  </sheetViews>
  <sheetFormatPr baseColWidth="8" defaultRowHeight="15"/>
  <cols>
    <col width="15.5703125" customWidth="1" style="17" min="1" max="1"/>
    <col width="42.28515625" customWidth="1" min="2" max="2"/>
    <col width="20" customWidth="1" min="3" max="6"/>
    <col width="15.140625" customWidth="1" min="7" max="7"/>
    <col width="16.5703125" customWidth="1" min="8" max="8"/>
  </cols>
  <sheetData>
    <row r="1">
      <c r="A1" s="1" t="inlineStr">
        <is>
          <t>Material ID</t>
        </is>
      </c>
      <c r="B1" s="7" t="inlineStr">
        <is>
          <t>Material</t>
        </is>
      </c>
      <c r="C1" s="7" t="inlineStr">
        <is>
          <t>Starting Stock</t>
        </is>
      </c>
      <c r="D1" s="7" t="inlineStr">
        <is>
          <t>Delivered</t>
        </is>
      </c>
      <c r="E1" s="7" t="inlineStr">
        <is>
          <t>Returned</t>
        </is>
      </c>
      <c r="F1" s="7" t="inlineStr">
        <is>
          <t>Used</t>
        </is>
      </c>
      <c r="G1" s="7" t="inlineStr">
        <is>
          <t>CURRENT STOCK</t>
        </is>
      </c>
      <c r="H1" s="21" t="inlineStr">
        <is>
          <t>Comment</t>
        </is>
      </c>
    </row>
    <row r="2">
      <c r="A2" s="17" t="inlineStr">
        <is>
          <t>22565</t>
        </is>
      </c>
      <c r="B2" s="8" t="inlineStr">
        <is>
          <t>Mortage bags(Glue)</t>
        </is>
      </c>
      <c r="C2" s="8" t="n">
        <v>142</v>
      </c>
      <c r="D2" s="8">
        <f>SUMIFS(MOVEMENTS!$E:$E,MOVEMENTS!$D:$D,$B2,MOVEMENTS!$F:$F,"Delivery to House")</f>
        <v/>
      </c>
      <c r="E2" s="8">
        <f>SUMIFS(MOVEMENTS!$E:$E,MOVEMENTS!$D:$D,$B2,MOVEMENTS!$F:$F,"Return to Warehouse")</f>
        <v/>
      </c>
      <c r="F2" s="8">
        <f>SUMIFS(MOVEMENTS!$E:$E,MOVEMENTS!$D:$D,$B2,MOVEMENTS!$F:$F,"Used on House")</f>
        <v/>
      </c>
      <c r="G2" s="8">
        <f>C2-D2+E2-F2</f>
        <v/>
      </c>
    </row>
    <row r="3">
      <c r="A3" s="17" t="inlineStr">
        <is>
          <t>13045</t>
        </is>
      </c>
      <c r="B3" s="8" t="inlineStr">
        <is>
          <t>Board 100mm</t>
        </is>
      </c>
      <c r="C3" s="8" t="n">
        <v>113</v>
      </c>
      <c r="D3" s="8">
        <f>SUMIFS(MOVEMENTS!$E:$E,MOVEMENTS!$D:$D,$B3,MOVEMENTS!$F:$F,"Delivery to House")</f>
        <v/>
      </c>
      <c r="E3" s="8">
        <f>SUMIFS(MOVEMENTS!$E:$E,MOVEMENTS!$D:$D,$B3,MOVEMENTS!$F:$F,"Return to Warehouse")</f>
        <v/>
      </c>
      <c r="F3" s="8">
        <f>SUMIFS(MOVEMENTS!$E:$E,MOVEMENTS!$D:$D,$B3,MOVEMENTS!$F:$F,"Used on House")</f>
        <v/>
      </c>
      <c r="G3" s="8">
        <f>C3-D3+E3-F3</f>
        <v/>
      </c>
    </row>
    <row r="4">
      <c r="B4" s="8" t="inlineStr">
        <is>
          <t>Board 60mm</t>
        </is>
      </c>
      <c r="C4" s="8" t="n">
        <v>97</v>
      </c>
      <c r="D4" s="8">
        <f>SUMIFS(MOVEMENTS!$E:$E,MOVEMENTS!$D:$D,$B4,MOVEMENTS!$F:$F,"Delivery to House")</f>
        <v/>
      </c>
      <c r="E4" s="8">
        <f>SUMIFS(MOVEMENTS!$E:$E,MOVEMENTS!$D:$D,$B4,MOVEMENTS!$F:$F,"Return to Warehouse")</f>
        <v/>
      </c>
      <c r="F4" s="8">
        <f>SUMIFS(MOVEMENTS!$E:$E,MOVEMENTS!$D:$D,$B4,MOVEMENTS!$F:$F,"Used on House")</f>
        <v/>
      </c>
      <c r="G4" s="8">
        <f>C4-D4+E4-F4</f>
        <v/>
      </c>
    </row>
    <row r="5">
      <c r="B5" s="9" t="inlineStr">
        <is>
          <t>Board 60mm Pink</t>
        </is>
      </c>
      <c r="C5" s="8" t="n">
        <v>47</v>
      </c>
      <c r="D5" s="8">
        <f>SUMIFS(MOVEMENTS!$E:$E,MOVEMENTS!$D:$D,$B5,MOVEMENTS!$F:$F,"Delivery to House")</f>
        <v/>
      </c>
      <c r="E5" s="8">
        <f>SUMIFS(MOVEMENTS!$E:$E,MOVEMENTS!$D:$D,$B5,MOVEMENTS!$F:$F,"Return to Warehouse")</f>
        <v/>
      </c>
      <c r="F5" s="8">
        <f>SUMIFS(MOVEMENTS!$E:$E,MOVEMENTS!$D:$D,$B5,MOVEMENTS!$F:$F,"Used on House")</f>
        <v/>
      </c>
      <c r="G5" s="8">
        <f>C5-D5+E5-F5</f>
        <v/>
      </c>
    </row>
    <row r="6">
      <c r="A6" s="17" t="inlineStr">
        <is>
          <t>12236</t>
        </is>
      </c>
      <c r="B6" s="8" t="inlineStr">
        <is>
          <t>Board 20mm white</t>
        </is>
      </c>
      <c r="C6" s="8" t="n">
        <v>12</v>
      </c>
      <c r="D6" s="8">
        <f>SUMIFS(MOVEMENTS!$E:$E,MOVEMENTS!$D:$D,$B6,MOVEMENTS!$F:$F,"Delivery to House")</f>
        <v/>
      </c>
      <c r="E6" s="8">
        <f>SUMIFS(MOVEMENTS!$E:$E,MOVEMENTS!$D:$D,$B6,MOVEMENTS!$F:$F,"Return to Warehouse")</f>
        <v/>
      </c>
      <c r="F6" s="8">
        <f>SUMIFS(MOVEMENTS!$E:$E,MOVEMENTS!$D:$D,$B6,MOVEMENTS!$F:$F,"Used on House")</f>
        <v/>
      </c>
      <c r="G6" s="8">
        <f>C6-D6+E6-F6</f>
        <v/>
      </c>
    </row>
    <row r="7">
      <c r="B7" s="8" t="inlineStr">
        <is>
          <t>Board 10mm white</t>
        </is>
      </c>
      <c r="C7" s="8" t="n">
        <v>32</v>
      </c>
      <c r="D7" s="8">
        <f>SUMIFS(MOVEMENTS!$E:$E,MOVEMENTS!$D:$D,$B7,MOVEMENTS!$F:$F,"Delivery to House")</f>
        <v/>
      </c>
      <c r="E7" s="8">
        <f>SUMIFS(MOVEMENTS!$E:$E,MOVEMENTS!$D:$D,$B7,MOVEMENTS!$F:$F,"Return to Warehouse")</f>
        <v/>
      </c>
      <c r="F7" s="8">
        <f>SUMIFS(MOVEMENTS!$E:$E,MOVEMENTS!$D:$D,$B7,MOVEMENTS!$F:$F,"Used on House")</f>
        <v/>
      </c>
      <c r="G7" s="8">
        <f>C7-D7+E7-F7</f>
        <v/>
      </c>
    </row>
    <row r="8">
      <c r="B8" s="8" t="inlineStr">
        <is>
          <t>Rockwool 100mm</t>
        </is>
      </c>
      <c r="C8" s="8" t="n">
        <v>0</v>
      </c>
      <c r="D8" s="8">
        <f>SUMIFS(MOVEMENTS!$E:$E,MOVEMENTS!$D:$D,$B8,MOVEMENTS!$F:$F,"Delivery to House")</f>
        <v/>
      </c>
      <c r="E8" s="8">
        <f>SUMIFS(MOVEMENTS!$E:$E,MOVEMENTS!$D:$D,$B8,MOVEMENTS!$F:$F,"Return to Warehouse")</f>
        <v/>
      </c>
      <c r="F8" s="8">
        <f>SUMIFS(MOVEMENTS!$E:$E,MOVEMENTS!$D:$D,$B8,MOVEMENTS!$F:$F,"Used on House")</f>
        <v/>
      </c>
      <c r="G8" s="8">
        <f>C8-D8+E8-F8</f>
        <v/>
      </c>
    </row>
    <row r="9">
      <c r="B9" s="8" t="inlineStr">
        <is>
          <t>Rockwool 120mm</t>
        </is>
      </c>
      <c r="C9" s="8" t="n">
        <v>58</v>
      </c>
      <c r="D9" s="8">
        <f>SUMIFS(MOVEMENTS!$E:$E,MOVEMENTS!$D:$D,$B9,MOVEMENTS!$F:$F,"Delivery to House")</f>
        <v/>
      </c>
      <c r="E9" s="8">
        <f>SUMIFS(MOVEMENTS!$E:$E,MOVEMENTS!$D:$D,$B9,MOVEMENTS!$F:$F,"Return to Warehouse")</f>
        <v/>
      </c>
      <c r="F9" s="8">
        <f>SUMIFS(MOVEMENTS!$E:$E,MOVEMENTS!$D:$D,$B9,MOVEMENTS!$F:$F,"Used on House")</f>
        <v/>
      </c>
      <c r="G9" s="8">
        <f>C9-D9+E9-F9</f>
        <v/>
      </c>
    </row>
    <row r="10">
      <c r="A10" s="17" t="inlineStr">
        <is>
          <t>22593</t>
        </is>
      </c>
      <c r="B10" s="8" t="inlineStr">
        <is>
          <t>Starter track 100mm (2m)</t>
        </is>
      </c>
      <c r="C10" s="8" t="n">
        <v>125</v>
      </c>
      <c r="D10" s="8">
        <f>SUMIFS(MOVEMENTS!$E:$E,MOVEMENTS!$D:$D,$B10,MOVEMENTS!$F:$F,"Delivery to House")</f>
        <v/>
      </c>
      <c r="E10" s="8">
        <f>SUMIFS(MOVEMENTS!$E:$E,MOVEMENTS!$D:$D,$B10,MOVEMENTS!$F:$F,"Return to Warehouse")</f>
        <v/>
      </c>
      <c r="F10" s="8">
        <f>SUMIFS(MOVEMENTS!$E:$E,MOVEMENTS!$D:$D,$B10,MOVEMENTS!$F:$F,"Used on House")</f>
        <v/>
      </c>
      <c r="G10" s="8">
        <f>C10-D10+E10-F10</f>
        <v/>
      </c>
    </row>
    <row r="11">
      <c r="B11" s="8" t="inlineStr">
        <is>
          <t>Aluminum starter track 100mm (2.5m)</t>
        </is>
      </c>
      <c r="C11" s="8" t="n">
        <v>16</v>
      </c>
      <c r="D11" s="8">
        <f>SUMIFS(MOVEMENTS!$E:$E,MOVEMENTS!$D:$D,$B11,MOVEMENTS!$F:$F,"Delivery to House")</f>
        <v/>
      </c>
      <c r="E11" s="8">
        <f>SUMIFS(MOVEMENTS!$E:$E,MOVEMENTS!$D:$D,$B11,MOVEMENTS!$F:$F,"Return to Warehouse")</f>
        <v/>
      </c>
      <c r="F11" s="8">
        <f>SUMIFS(MOVEMENTS!$E:$E,MOVEMENTS!$D:$D,$B11,MOVEMENTS!$F:$F,"Used on House")</f>
        <v/>
      </c>
      <c r="G11" s="8">
        <f>C11-D11+E11-F11</f>
        <v/>
      </c>
    </row>
    <row r="12">
      <c r="A12" s="17" t="inlineStr">
        <is>
          <t>20921</t>
        </is>
      </c>
      <c r="B12" s="8" t="inlineStr">
        <is>
          <t>Window profile (2.4m)</t>
        </is>
      </c>
      <c r="C12" s="8" t="n">
        <v>32</v>
      </c>
      <c r="D12" s="8">
        <f>SUMIFS(MOVEMENTS!$E:$E,MOVEMENTS!$D:$D,$B12,MOVEMENTS!$F:$F,"Delivery to House")</f>
        <v/>
      </c>
      <c r="E12" s="8">
        <f>SUMIFS(MOVEMENTS!$E:$E,MOVEMENTS!$D:$D,$B12,MOVEMENTS!$F:$F,"Return to Warehouse")</f>
        <v/>
      </c>
      <c r="F12" s="8">
        <f>SUMIFS(MOVEMENTS!$E:$E,MOVEMENTS!$D:$D,$B12,MOVEMENTS!$F:$F,"Used on House")</f>
        <v/>
      </c>
      <c r="G12" s="8">
        <f>C12-D12+E12-F12</f>
        <v/>
      </c>
    </row>
    <row r="13">
      <c r="A13" s="17" t="inlineStr">
        <is>
          <t>22502</t>
        </is>
      </c>
      <c r="B13" s="8" t="inlineStr">
        <is>
          <t>Corner bit (2.5m)</t>
        </is>
      </c>
      <c r="C13" s="8" t="n">
        <v>108</v>
      </c>
      <c r="D13" s="8">
        <f>SUMIFS(MOVEMENTS!$E:$E,MOVEMENTS!$D:$D,$B13,MOVEMENTS!$F:$F,"Delivery to House")</f>
        <v/>
      </c>
      <c r="E13" s="8">
        <f>SUMIFS(MOVEMENTS!$E:$E,MOVEMENTS!$D:$D,$B13,MOVEMENTS!$F:$F,"Return to Warehouse")</f>
        <v/>
      </c>
      <c r="F13" s="8">
        <f>SUMIFS(MOVEMENTS!$E:$E,MOVEMENTS!$D:$D,$B13,MOVEMENTS!$F:$F,"Used on House")</f>
        <v/>
      </c>
      <c r="G13" s="8">
        <f>C13-D13+E13-F13</f>
        <v/>
      </c>
    </row>
    <row r="14">
      <c r="A14" s="17" t="inlineStr">
        <is>
          <t>41318</t>
        </is>
      </c>
      <c r="B14" s="8" t="inlineStr">
        <is>
          <t>Pins 155mm</t>
        </is>
      </c>
      <c r="C14" s="8" t="n">
        <v>2900</v>
      </c>
      <c r="D14" s="8">
        <f>SUMIFS(MOVEMENTS!$E:$E,MOVEMENTS!$D:$D,$B14,MOVEMENTS!$F:$F,"Delivery to House")</f>
        <v/>
      </c>
      <c r="E14" s="8">
        <f>SUMIFS(MOVEMENTS!$E:$E,MOVEMENTS!$D:$D,$B14,MOVEMENTS!$F:$F,"Return to Warehouse")</f>
        <v/>
      </c>
      <c r="F14" s="8">
        <f>SUMIFS(MOVEMENTS!$E:$E,MOVEMENTS!$D:$D,$B14,MOVEMENTS!$F:$F,"Used on House")</f>
        <v/>
      </c>
      <c r="G14" s="8">
        <f>C14-D14+E14-F14</f>
        <v/>
      </c>
    </row>
    <row r="15">
      <c r="B15" s="8" t="inlineStr">
        <is>
          <t>Pins 95mm</t>
        </is>
      </c>
      <c r="C15" s="8" t="n">
        <v>2400</v>
      </c>
      <c r="D15" s="8">
        <f>SUMIFS(MOVEMENTS!$E:$E,MOVEMENTS!$D:$D,$B15,MOVEMENTS!$F:$F,"Delivery to House")</f>
        <v/>
      </c>
      <c r="E15" s="8">
        <f>SUMIFS(MOVEMENTS!$E:$E,MOVEMENTS!$D:$D,$B15,MOVEMENTS!$F:$F,"Return to Warehouse")</f>
        <v/>
      </c>
      <c r="F15" s="8">
        <f>SUMIFS(MOVEMENTS!$E:$E,MOVEMENTS!$D:$D,$B15,MOVEMENTS!$F:$F,"Used on House")</f>
        <v/>
      </c>
      <c r="G15" s="8">
        <f>C15-D15+E15-F15</f>
        <v/>
      </c>
    </row>
    <row r="16">
      <c r="B16" s="8" t="inlineStr">
        <is>
          <t>Polystyrene disc</t>
        </is>
      </c>
      <c r="C16" s="8" t="n">
        <v>6000</v>
      </c>
      <c r="D16" s="8">
        <f>SUMIFS(MOVEMENTS!$E:$E,MOVEMENTS!$D:$D,$B16,MOVEMENTS!$F:$F,"Delivery to House")</f>
        <v/>
      </c>
      <c r="E16" s="8">
        <f>SUMIFS(MOVEMENTS!$E:$E,MOVEMENTS!$D:$D,$B16,MOVEMENTS!$F:$F,"Return to Warehouse")</f>
        <v/>
      </c>
      <c r="F16" s="8">
        <f>SUMIFS(MOVEMENTS!$E:$E,MOVEMENTS!$D:$D,$B16,MOVEMENTS!$F:$F,"Used on House")</f>
        <v/>
      </c>
      <c r="G16" s="8">
        <f>C16-D16+E16-F16</f>
        <v/>
      </c>
    </row>
    <row r="17">
      <c r="A17" s="17" t="inlineStr">
        <is>
          <t>22501</t>
        </is>
      </c>
      <c r="B17" s="8" t="inlineStr">
        <is>
          <t>Mesh</t>
        </is>
      </c>
      <c r="C17" s="8" t="n">
        <v>7</v>
      </c>
      <c r="D17" s="8">
        <f>SUMIFS(MOVEMENTS!$E:$E,MOVEMENTS!$D:$D,$B17,MOVEMENTS!$F:$F,"Delivery to House")</f>
        <v/>
      </c>
      <c r="E17" s="8">
        <f>SUMIFS(MOVEMENTS!$E:$E,MOVEMENTS!$D:$D,$B17,MOVEMENTS!$F:$F,"Return to Warehouse")</f>
        <v/>
      </c>
      <c r="F17" s="8">
        <f>SUMIFS(MOVEMENTS!$E:$E,MOVEMENTS!$D:$D,$B17,MOVEMENTS!$F:$F,"Used on House")</f>
        <v/>
      </c>
      <c r="G17" s="8">
        <f>C17-D17+E17-F17</f>
        <v/>
      </c>
    </row>
    <row r="18">
      <c r="B18" s="8" t="inlineStr">
        <is>
          <t>Spacers 5mm</t>
        </is>
      </c>
      <c r="C18" s="8" t="n">
        <v>18</v>
      </c>
      <c r="D18" s="8">
        <f>SUMIFS(MOVEMENTS!$E:$E,MOVEMENTS!$D:$D,$B18,MOVEMENTS!$F:$F,"Delivery to House")</f>
        <v/>
      </c>
      <c r="E18" s="8">
        <f>SUMIFS(MOVEMENTS!$E:$E,MOVEMENTS!$D:$D,$B18,MOVEMENTS!$F:$F,"Return to Warehouse")</f>
        <v/>
      </c>
      <c r="F18" s="8">
        <f>SUMIFS(MOVEMENTS!$E:$E,MOVEMENTS!$D:$D,$B18,MOVEMENTS!$F:$F,"Used on House")</f>
        <v/>
      </c>
      <c r="G18" s="8">
        <f>C18-D18+E18-F18</f>
        <v/>
      </c>
    </row>
    <row r="19">
      <c r="B19" s="8" t="inlineStr">
        <is>
          <t>Spacers 3mm</t>
        </is>
      </c>
      <c r="C19" s="8" t="n">
        <v>12</v>
      </c>
      <c r="D19" s="8">
        <f>SUMIFS(MOVEMENTS!$E:$E,MOVEMENTS!$D:$D,$B19,MOVEMENTS!$F:$F,"Delivery to House")</f>
        <v/>
      </c>
      <c r="E19" s="8">
        <f>SUMIFS(MOVEMENTS!$E:$E,MOVEMENTS!$D:$D,$B19,MOVEMENTS!$F:$F,"Return to Warehouse")</f>
        <v/>
      </c>
      <c r="F19" s="8">
        <f>SUMIFS(MOVEMENTS!$E:$E,MOVEMENTS!$D:$D,$B19,MOVEMENTS!$F:$F,"Used on House")</f>
        <v/>
      </c>
      <c r="G19" s="8">
        <f>C19-D19+E19-F19</f>
        <v/>
      </c>
    </row>
    <row r="20">
      <c r="B20" s="8" t="inlineStr">
        <is>
          <t>Fisher fixing</t>
        </is>
      </c>
      <c r="C20" s="8" t="n">
        <v>1000</v>
      </c>
      <c r="D20" s="8">
        <f>SUMIFS(MOVEMENTS!$E:$E,MOVEMENTS!$D:$D,$B20,MOVEMENTS!$F:$F,"Delivery to House")</f>
        <v/>
      </c>
      <c r="E20" s="8">
        <f>SUMIFS(MOVEMENTS!$E:$E,MOVEMENTS!$D:$D,$B20,MOVEMENTS!$F:$F,"Return to Warehouse")</f>
        <v/>
      </c>
      <c r="F20" s="8">
        <f>SUMIFS(MOVEMENTS!$E:$E,MOVEMENTS!$D:$D,$B20,MOVEMENTS!$F:$F,"Used on House")</f>
        <v/>
      </c>
      <c r="G20" s="8">
        <f>C20-D20+E20-F20</f>
        <v/>
      </c>
    </row>
    <row r="21">
      <c r="B21" s="8" t="inlineStr">
        <is>
          <t>Plugs (6/60)mm</t>
        </is>
      </c>
      <c r="C21" s="8" t="inlineStr">
        <is>
          <t>?</t>
        </is>
      </c>
      <c r="D21" s="8">
        <f>SUMIFS(MOVEMENTS!$E:$E,MOVEMENTS!$D:$D,$B21,MOVEMENTS!$F:$F,"Delivery to House")</f>
        <v/>
      </c>
      <c r="E21" s="8">
        <f>SUMIFS(MOVEMENTS!$E:$E,MOVEMENTS!$D:$D,$B21,MOVEMENTS!$F:$F,"Return to Warehouse")</f>
        <v/>
      </c>
      <c r="F21" s="8">
        <f>SUMIFS(MOVEMENTS!$E:$E,MOVEMENTS!$D:$D,$B21,MOVEMENTS!$F:$F,"Used on House")</f>
        <v/>
      </c>
      <c r="G21" s="8">
        <f>C21-D21+E21-F21</f>
        <v/>
      </c>
    </row>
    <row r="22">
      <c r="B22" s="8" t="inlineStr">
        <is>
          <t>Exp tape</t>
        </is>
      </c>
      <c r="C22" s="8" t="n">
        <v>148</v>
      </c>
      <c r="D22" s="8">
        <f>SUMIFS(MOVEMENTS!$E:$E,MOVEMENTS!$D:$D,$B22,MOVEMENTS!$F:$F,"Delivery to House")</f>
        <v/>
      </c>
      <c r="E22" s="8">
        <f>SUMIFS(MOVEMENTS!$E:$E,MOVEMENTS!$D:$D,$B22,MOVEMENTS!$F:$F,"Return to Warehouse")</f>
        <v/>
      </c>
      <c r="F22" s="8">
        <f>SUMIFS(MOVEMENTS!$E:$E,MOVEMENTS!$D:$D,$B22,MOVEMENTS!$F:$F,"Used on House")</f>
        <v/>
      </c>
      <c r="G22" s="8">
        <f>C22-D22+E22-F22</f>
        <v/>
      </c>
    </row>
    <row r="23">
      <c r="B23" s="8" t="inlineStr">
        <is>
          <t>Metal pins for rockwool</t>
        </is>
      </c>
      <c r="C23" s="8" t="n">
        <v>200</v>
      </c>
      <c r="D23" s="8">
        <f>SUMIFS(MOVEMENTS!$E:$E,MOVEMENTS!$D:$D,$B23,MOVEMENTS!$F:$F,"Delivery to House")</f>
        <v/>
      </c>
      <c r="E23" s="8">
        <f>SUMIFS(MOVEMENTS!$E:$E,MOVEMENTS!$D:$D,$B23,MOVEMENTS!$F:$F,"Return to Warehouse")</f>
        <v/>
      </c>
      <c r="F23" s="8">
        <f>SUMIFS(MOVEMENTS!$E:$E,MOVEMENTS!$D:$D,$B23,MOVEMENTS!$F:$F,"Used on House")</f>
        <v/>
      </c>
      <c r="G23" s="8">
        <f>C23-D23+E23-F23</f>
        <v/>
      </c>
    </row>
    <row r="24">
      <c r="A24" s="17" t="inlineStr">
        <is>
          <t>29574</t>
        </is>
      </c>
      <c r="B24" s="9" t="inlineStr">
        <is>
          <t>Gun foam fp404 pink</t>
        </is>
      </c>
      <c r="C24" s="8" t="n">
        <v>36</v>
      </c>
      <c r="D24" s="8">
        <f>SUMIFS(MOVEMENTS!$E:$E,MOVEMENTS!$D:$D,$B24,MOVEMENTS!$F:$F,"Delivery to House")</f>
        <v/>
      </c>
      <c r="E24" s="8">
        <f>SUMIFS(MOVEMENTS!$E:$E,MOVEMENTS!$D:$D,$B24,MOVEMENTS!$F:$F,"Return to Warehouse")</f>
        <v/>
      </c>
      <c r="F24" s="8">
        <f>SUMIFS(MOVEMENTS!$E:$E,MOVEMENTS!$D:$D,$B24,MOVEMENTS!$F:$F,"Used on House")</f>
        <v/>
      </c>
      <c r="G24" s="8">
        <f>C24-D24+E24-F24</f>
        <v/>
      </c>
    </row>
    <row r="25">
      <c r="B25" s="10" t="inlineStr">
        <is>
          <t>Gun foam yellow</t>
        </is>
      </c>
      <c r="C25" s="8" t="n">
        <v>0</v>
      </c>
      <c r="D25" s="8">
        <f>SUMIFS(MOVEMENTS!$E:$E,MOVEMENTS!$D:$D,$B25,MOVEMENTS!$F:$F,"Delivery to House")</f>
        <v/>
      </c>
      <c r="E25" s="8">
        <f>SUMIFS(MOVEMENTS!$E:$E,MOVEMENTS!$D:$D,$B25,MOVEMENTS!$F:$F,"Return to Warehouse")</f>
        <v/>
      </c>
      <c r="F25" s="8">
        <f>SUMIFS(MOVEMENTS!$E:$E,MOVEMENTS!$D:$D,$B25,MOVEMENTS!$F:$F,"Used on House")</f>
        <v/>
      </c>
      <c r="G25" s="8">
        <f>C25-D25+E25-F25</f>
        <v/>
      </c>
    </row>
    <row r="26">
      <c r="B26" s="8" t="inlineStr">
        <is>
          <t>Finish cout (White)</t>
        </is>
      </c>
      <c r="C26" s="8" t="n">
        <v>37</v>
      </c>
      <c r="D26" s="8">
        <f>SUMIFS(MOVEMENTS!$E:$E,MOVEMENTS!$D:$D,$B26,MOVEMENTS!$F:$F,"Delivery to House")</f>
        <v/>
      </c>
      <c r="E26" s="8">
        <f>SUMIFS(MOVEMENTS!$E:$E,MOVEMENTS!$D:$D,$B26,MOVEMENTS!$F:$F,"Return to Warehouse")</f>
        <v/>
      </c>
      <c r="F26" s="8">
        <f>SUMIFS(MOVEMENTS!$E:$E,MOVEMENTS!$D:$D,$B26,MOVEMENTS!$F:$F,"Used on House")</f>
        <v/>
      </c>
      <c r="G26" s="8">
        <f>C26-D26+E26-F26</f>
        <v/>
      </c>
    </row>
    <row r="27">
      <c r="A27" s="17" t="inlineStr">
        <is>
          <t>22616</t>
        </is>
      </c>
      <c r="B27" s="16" t="inlineStr">
        <is>
          <t>Finish cout (Light grey 0938)</t>
        </is>
      </c>
      <c r="C27" s="8" t="n">
        <v>74</v>
      </c>
      <c r="D27" s="8">
        <f>SUMIFS(MOVEMENTS!$E:$E,MOVEMENTS!$D:$D,$B27,MOVEMENTS!$F:$F,"Delivery to House")</f>
        <v/>
      </c>
      <c r="E27" s="8">
        <f>SUMIFS(MOVEMENTS!$E:$E,MOVEMENTS!$D:$D,$B27,MOVEMENTS!$F:$F,"Return to Warehouse")</f>
        <v/>
      </c>
      <c r="F27" s="8">
        <f>SUMIFS(MOVEMENTS!$E:$E,MOVEMENTS!$D:$D,$B27,MOVEMENTS!$F:$F,"Used on House")</f>
        <v/>
      </c>
      <c r="G27" s="8">
        <f>C27-D27+E27-F27</f>
        <v/>
      </c>
    </row>
    <row r="28">
      <c r="B28" s="11" t="inlineStr">
        <is>
          <t>Finish cout (Light cream 0198)</t>
        </is>
      </c>
      <c r="C28" s="8" t="n">
        <v>0</v>
      </c>
      <c r="D28" s="8">
        <f>SUMIFS(MOVEMENTS!$E:$E,MOVEMENTS!$D:$D,$B28,MOVEMENTS!$F:$F,"Delivery to House")</f>
        <v/>
      </c>
      <c r="E28" s="8">
        <f>SUMIFS(MOVEMENTS!$E:$E,MOVEMENTS!$D:$D,$B28,MOVEMENTS!$F:$F,"Return to Warehouse")</f>
        <v/>
      </c>
      <c r="F28" s="8">
        <f>SUMIFS(MOVEMENTS!$E:$E,MOVEMENTS!$D:$D,$B28,MOVEMENTS!$F:$F,"Used on House")</f>
        <v/>
      </c>
      <c r="G28" s="8">
        <f>C28-D28+E28-F28</f>
        <v/>
      </c>
    </row>
    <row r="29">
      <c r="B29" s="12" t="inlineStr">
        <is>
          <t>Finish cout (Dark cream 0298)</t>
        </is>
      </c>
      <c r="C29" s="8" t="n">
        <v>49</v>
      </c>
      <c r="D29" s="8">
        <f>SUMIFS(MOVEMENTS!$E:$E,MOVEMENTS!$D:$D,$B29,MOVEMENTS!$F:$F,"Delivery to House")</f>
        <v/>
      </c>
      <c r="E29" s="8">
        <f>SUMIFS(MOVEMENTS!$E:$E,MOVEMENTS!$D:$D,$B29,MOVEMENTS!$F:$F,"Return to Warehouse")</f>
        <v/>
      </c>
      <c r="F29" s="8">
        <f>SUMIFS(MOVEMENTS!$E:$E,MOVEMENTS!$D:$D,$B29,MOVEMENTS!$F:$F,"Used on House")</f>
        <v/>
      </c>
      <c r="G29" s="8">
        <f>C29-D29+E29-F29</f>
        <v/>
      </c>
    </row>
    <row r="30">
      <c r="B30" s="8" t="inlineStr">
        <is>
          <t>Primer</t>
        </is>
      </c>
      <c r="C30" s="8" t="n">
        <v>12</v>
      </c>
      <c r="D30" s="8">
        <f>SUMIFS(MOVEMENTS!$E:$E,MOVEMENTS!$D:$D,$B30,MOVEMENTS!$F:$F,"Delivery to House")</f>
        <v/>
      </c>
      <c r="E30" s="8">
        <f>SUMIFS(MOVEMENTS!$E:$E,MOVEMENTS!$D:$D,$B30,MOVEMENTS!$F:$F,"Return to Warehouse")</f>
        <v/>
      </c>
      <c r="F30" s="8">
        <f>SUMIFS(MOVEMENTS!$E:$E,MOVEMENTS!$D:$D,$B30,MOVEMENTS!$F:$F,"Used on House")</f>
        <v/>
      </c>
      <c r="G30" s="8">
        <f>C30-D30+E30-F30</f>
        <v/>
      </c>
    </row>
    <row r="31">
      <c r="B31" s="8" t="inlineStr">
        <is>
          <t>ESB clips</t>
        </is>
      </c>
      <c r="C31" s="8" t="n">
        <v>500</v>
      </c>
      <c r="D31" s="8">
        <f>SUMIFS(MOVEMENTS!$E:$E,MOVEMENTS!$D:$D,$B31,MOVEMENTS!$F:$F,"Delivery to House")</f>
        <v/>
      </c>
      <c r="E31" s="8">
        <f>SUMIFS(MOVEMENTS!$E:$E,MOVEMENTS!$D:$D,$B31,MOVEMENTS!$F:$F,"Return to Warehouse")</f>
        <v/>
      </c>
      <c r="F31" s="8">
        <f>SUMIFS(MOVEMENTS!$E:$E,MOVEMENTS!$D:$D,$B31,MOVEMENTS!$F:$F,"Used on House")</f>
        <v/>
      </c>
      <c r="G31" s="8">
        <f>C31-D31+E31-F31</f>
        <v/>
      </c>
    </row>
    <row r="32">
      <c r="B32" s="8" t="inlineStr">
        <is>
          <t>Pins for ext cable</t>
        </is>
      </c>
      <c r="C32" s="8" t="n">
        <v>3</v>
      </c>
      <c r="D32" s="8">
        <f>SUMIFS(MOVEMENTS!$E:$E,MOVEMENTS!$D:$D,$B32,MOVEMENTS!$F:$F,"Delivery to House")</f>
        <v/>
      </c>
      <c r="E32" s="8">
        <f>SUMIFS(MOVEMENTS!$E:$E,MOVEMENTS!$D:$D,$B32,MOVEMENTS!$F:$F,"Return to Warehouse")</f>
        <v/>
      </c>
      <c r="F32" s="8">
        <f>SUMIFS(MOVEMENTS!$E:$E,MOVEMENTS!$D:$D,$B32,MOVEMENTS!$F:$F,"Used on House")</f>
        <v/>
      </c>
      <c r="G32" s="8">
        <f>C32-D32+E32-F32</f>
        <v/>
      </c>
    </row>
    <row r="33">
      <c r="B33" s="8" t="inlineStr">
        <is>
          <t>Caping white 100mm</t>
        </is>
      </c>
      <c r="C33" s="8" t="n">
        <v>77</v>
      </c>
      <c r="D33" s="8">
        <f>SUMIFS(MOVEMENTS!$E:$E,MOVEMENTS!$D:$D,$B33,MOVEMENTS!$F:$F,"Delivery to House")</f>
        <v/>
      </c>
      <c r="E33" s="8">
        <f>SUMIFS(MOVEMENTS!$E:$E,MOVEMENTS!$D:$D,$B33,MOVEMENTS!$F:$F,"Return to Warehouse")</f>
        <v/>
      </c>
      <c r="F33" s="8">
        <f>SUMIFS(MOVEMENTS!$E:$E,MOVEMENTS!$D:$D,$B33,MOVEMENTS!$F:$F,"Used on House")</f>
        <v/>
      </c>
      <c r="G33" s="8">
        <f>C33-D33+E33-F33</f>
        <v/>
      </c>
    </row>
    <row r="34">
      <c r="B34" s="13" t="inlineStr">
        <is>
          <t>Caping black 100mm</t>
        </is>
      </c>
      <c r="C34" s="8" t="n">
        <v>78</v>
      </c>
      <c r="D34" s="8">
        <f>SUMIFS(MOVEMENTS!$E:$E,MOVEMENTS!$D:$D,$B34,MOVEMENTS!$F:$F,"Delivery to House")</f>
        <v/>
      </c>
      <c r="E34" s="8">
        <f>SUMIFS(MOVEMENTS!$E:$E,MOVEMENTS!$D:$D,$B34,MOVEMENTS!$F:$F,"Return to Warehouse")</f>
        <v/>
      </c>
      <c r="F34" s="8">
        <f>SUMIFS(MOVEMENTS!$E:$E,MOVEMENTS!$D:$D,$B34,MOVEMENTS!$F:$F,"Used on House")</f>
        <v/>
      </c>
      <c r="G34" s="8">
        <f>C34-D34+E34-F34</f>
        <v/>
      </c>
    </row>
    <row r="35">
      <c r="B35" s="15" t="inlineStr">
        <is>
          <t>Caping brown 100mm</t>
        </is>
      </c>
      <c r="C35" s="8" t="n">
        <v>49</v>
      </c>
      <c r="D35" s="8">
        <f>SUMIFS(MOVEMENTS!$E:$E,MOVEMENTS!$D:$D,$B35,MOVEMENTS!$F:$F,"Delivery to House")</f>
        <v/>
      </c>
      <c r="E35" s="8">
        <f>SUMIFS(MOVEMENTS!$E:$E,MOVEMENTS!$D:$D,$B35,MOVEMENTS!$F:$F,"Return to Warehouse")</f>
        <v/>
      </c>
      <c r="F35" s="8">
        <f>SUMIFS(MOVEMENTS!$E:$E,MOVEMENTS!$D:$D,$B35,MOVEMENTS!$F:$F,"Used on House")</f>
        <v/>
      </c>
      <c r="G35" s="8">
        <f>C35-D35+E35-F35</f>
        <v/>
      </c>
    </row>
    <row r="36">
      <c r="B36" s="19" t="inlineStr">
        <is>
          <t>Caping joiner white</t>
        </is>
      </c>
      <c r="C36" s="8" t="n">
        <v>93</v>
      </c>
      <c r="D36" s="8">
        <f>SUMIFS(MOVEMENTS!$E:$E,MOVEMENTS!$D:$D,$B36,MOVEMENTS!$F:$F,"Delivery to House")</f>
        <v/>
      </c>
      <c r="E36" s="8">
        <f>SUMIFS(MOVEMENTS!$E:$E,MOVEMENTS!$D:$D,$B36,MOVEMENTS!$F:$F,"Return to Warehouse")</f>
        <v/>
      </c>
      <c r="F36" s="8">
        <f>SUMIFS(MOVEMENTS!$E:$E,MOVEMENTS!$D:$D,$B36,MOVEMENTS!$F:$F,"Used on House")</f>
        <v/>
      </c>
      <c r="G36" s="8">
        <f>C36-D36+E36-F36</f>
        <v/>
      </c>
    </row>
    <row r="37">
      <c r="B37" s="14" t="inlineStr">
        <is>
          <t>Caping joiner black</t>
        </is>
      </c>
      <c r="C37" s="8" t="n">
        <v>48</v>
      </c>
      <c r="D37" s="8">
        <f>SUMIFS(MOVEMENTS!$E:$E,MOVEMENTS!$D:$D,$B37,MOVEMENTS!$F:$F,"Delivery to House")</f>
        <v/>
      </c>
      <c r="E37" s="8">
        <f>SUMIFS(MOVEMENTS!$E:$E,MOVEMENTS!$D:$D,$B37,MOVEMENTS!$F:$F,"Return to Warehouse")</f>
        <v/>
      </c>
      <c r="F37" s="8">
        <f>SUMIFS(MOVEMENTS!$E:$E,MOVEMENTS!$D:$D,$B37,MOVEMENTS!$F:$F,"Used on House")</f>
        <v/>
      </c>
      <c r="G37" s="8">
        <f>C37-D37+E37-F37</f>
        <v/>
      </c>
    </row>
    <row r="38">
      <c r="B38" s="15" t="inlineStr">
        <is>
          <t>Caping joiner brown</t>
        </is>
      </c>
      <c r="C38" s="8" t="n">
        <v>60</v>
      </c>
      <c r="D38" s="8">
        <f>SUMIFS(MOVEMENTS!$E:$E,MOVEMENTS!$D:$D,$B38,MOVEMENTS!$F:$F,"Delivery to House")</f>
        <v/>
      </c>
      <c r="E38" s="8">
        <f>SUMIFS(MOVEMENTS!$E:$E,MOVEMENTS!$D:$D,$B38,MOVEMENTS!$F:$F,"Return to Warehouse")</f>
        <v/>
      </c>
      <c r="F38" s="8">
        <f>SUMIFS(MOVEMENTS!$E:$E,MOVEMENTS!$D:$D,$B38,MOVEMENTS!$F:$F,"Used on House")</f>
        <v/>
      </c>
      <c r="G38" s="8">
        <f>C38-D38+E38-F38</f>
        <v/>
      </c>
    </row>
    <row r="39">
      <c r="B39" s="8" t="inlineStr">
        <is>
          <t>Corner outside white</t>
        </is>
      </c>
      <c r="C39" s="8" t="n">
        <v>24</v>
      </c>
      <c r="D39" s="8">
        <f>SUMIFS(MOVEMENTS!$E:$E,MOVEMENTS!$D:$D,$B39,MOVEMENTS!$F:$F,"Delivery to House")</f>
        <v/>
      </c>
      <c r="E39" s="8">
        <f>SUMIFS(MOVEMENTS!$E:$E,MOVEMENTS!$D:$D,$B39,MOVEMENTS!$F:$F,"Return to Warehouse")</f>
        <v/>
      </c>
      <c r="F39" s="8">
        <f>SUMIFS(MOVEMENTS!$E:$E,MOVEMENTS!$D:$D,$B39,MOVEMENTS!$F:$F,"Used on House")</f>
        <v/>
      </c>
      <c r="G39" s="8">
        <f>C39-D39+E39-F39</f>
        <v/>
      </c>
    </row>
    <row r="40">
      <c r="B40" s="8" t="inlineStr">
        <is>
          <t>Corner inside white</t>
        </is>
      </c>
      <c r="C40" s="8" t="n">
        <v>14</v>
      </c>
      <c r="D40" s="8">
        <f>SUMIFS(MOVEMENTS!$E:$E,MOVEMENTS!$D:$D,$B40,MOVEMENTS!$F:$F,"Delivery to House")</f>
        <v/>
      </c>
      <c r="E40" s="8">
        <f>SUMIFS(MOVEMENTS!$E:$E,MOVEMENTS!$D:$D,$B40,MOVEMENTS!$F:$F,"Return to Warehouse")</f>
        <v/>
      </c>
      <c r="F40" s="8">
        <f>SUMIFS(MOVEMENTS!$E:$E,MOVEMENTS!$D:$D,$B40,MOVEMENTS!$F:$F,"Used on House")</f>
        <v/>
      </c>
      <c r="G40" s="8">
        <f>C40-D40+E40-F40</f>
        <v/>
      </c>
    </row>
    <row r="41">
      <c r="B41" s="14" t="inlineStr">
        <is>
          <t>Corner inside black</t>
        </is>
      </c>
      <c r="C41" s="8" t="n">
        <v>11</v>
      </c>
      <c r="D41" s="8">
        <f>SUMIFS(MOVEMENTS!$E:$E,MOVEMENTS!$D:$D,$B41,MOVEMENTS!$F:$F,"Delivery to House")</f>
        <v/>
      </c>
      <c r="E41" s="8">
        <f>SUMIFS(MOVEMENTS!$E:$E,MOVEMENTS!$D:$D,$B41,MOVEMENTS!$F:$F,"Return to Warehouse")</f>
        <v/>
      </c>
      <c r="F41" s="8">
        <f>SUMIFS(MOVEMENTS!$E:$E,MOVEMENTS!$D:$D,$B41,MOVEMENTS!$F:$F,"Used on House")</f>
        <v/>
      </c>
      <c r="G41" s="8">
        <f>C41-D41+E41-F41</f>
        <v/>
      </c>
    </row>
    <row r="42">
      <c r="B42" s="14" t="inlineStr">
        <is>
          <t>Corner outside black</t>
        </is>
      </c>
      <c r="C42" s="8" t="n">
        <v>21</v>
      </c>
      <c r="D42" s="8">
        <f>SUMIFS(MOVEMENTS!$E:$E,MOVEMENTS!$D:$D,$B42,MOVEMENTS!$F:$F,"Delivery to House")</f>
        <v/>
      </c>
      <c r="E42" s="8">
        <f>SUMIFS(MOVEMENTS!$E:$E,MOVEMENTS!$D:$D,$B42,MOVEMENTS!$F:$F,"Return to Warehouse")</f>
        <v/>
      </c>
      <c r="F42" s="8">
        <f>SUMIFS(MOVEMENTS!$E:$E,MOVEMENTS!$D:$D,$B42,MOVEMENTS!$F:$F,"Used on House")</f>
        <v/>
      </c>
      <c r="G42" s="8">
        <f>C42-D42+E42-F42</f>
        <v/>
      </c>
    </row>
    <row r="43">
      <c r="B43" s="15" t="inlineStr">
        <is>
          <t>Corner outside brown</t>
        </is>
      </c>
      <c r="C43" s="8" t="n">
        <v>3</v>
      </c>
      <c r="D43" s="8">
        <f>SUMIFS(MOVEMENTS!$E:$E,MOVEMENTS!$D:$D,$B43,MOVEMENTS!$F:$F,"Delivery to House")</f>
        <v/>
      </c>
      <c r="E43" s="8">
        <f>SUMIFS(MOVEMENTS!$E:$E,MOVEMENTS!$D:$D,$B43,MOVEMENTS!$F:$F,"Return to Warehouse")</f>
        <v/>
      </c>
      <c r="F43" s="8">
        <f>SUMIFS(MOVEMENTS!$E:$E,MOVEMENTS!$D:$D,$B43,MOVEMENTS!$F:$F,"Used on House")</f>
        <v/>
      </c>
      <c r="G43" s="8">
        <f>C43-D43+E43-F43</f>
        <v/>
      </c>
    </row>
    <row r="44">
      <c r="B44" s="15" t="inlineStr">
        <is>
          <t>Corner inside brown</t>
        </is>
      </c>
      <c r="C44" s="8" t="n">
        <v>11</v>
      </c>
      <c r="D44" s="8">
        <f>SUMIFS(MOVEMENTS!$E:$E,MOVEMENTS!$D:$D,$B44,MOVEMENTS!$F:$F,"Delivery to House")</f>
        <v/>
      </c>
      <c r="E44" s="8">
        <f>SUMIFS(MOVEMENTS!$E:$E,MOVEMENTS!$D:$D,$B44,MOVEMENTS!$F:$F,"Return to Warehouse")</f>
        <v/>
      </c>
      <c r="F44" s="8">
        <f>SUMIFS(MOVEMENTS!$E:$E,MOVEMENTS!$D:$D,$B44,MOVEMENTS!$F:$F,"Used on House")</f>
        <v/>
      </c>
      <c r="G44" s="8">
        <f>C44-D44+E44-F44</f>
        <v/>
      </c>
    </row>
    <row r="45">
      <c r="B45" s="8" t="inlineStr">
        <is>
          <t>End cap white left</t>
        </is>
      </c>
      <c r="C45" s="8" t="n">
        <v>30</v>
      </c>
      <c r="D45" s="8">
        <f>SUMIFS(MOVEMENTS!$E:$E,MOVEMENTS!$D:$D,$B45,MOVEMENTS!$F:$F,"Delivery to House")</f>
        <v/>
      </c>
      <c r="E45" s="8">
        <f>SUMIFS(MOVEMENTS!$E:$E,MOVEMENTS!$D:$D,$B45,MOVEMENTS!$F:$F,"Return to Warehouse")</f>
        <v/>
      </c>
      <c r="F45" s="8">
        <f>SUMIFS(MOVEMENTS!$E:$E,MOVEMENTS!$D:$D,$B45,MOVEMENTS!$F:$F,"Used on House")</f>
        <v/>
      </c>
      <c r="G45" s="8">
        <f>C45-D45+E45-F45</f>
        <v/>
      </c>
    </row>
    <row r="46">
      <c r="B46" s="8" t="inlineStr">
        <is>
          <t>End cap white right</t>
        </is>
      </c>
      <c r="C46" s="8" t="n">
        <v>24</v>
      </c>
      <c r="D46" s="8">
        <f>SUMIFS(MOVEMENTS!$E:$E,MOVEMENTS!$D:$D,$B46,MOVEMENTS!$F:$F,"Delivery to House")</f>
        <v/>
      </c>
      <c r="E46" s="8">
        <f>SUMIFS(MOVEMENTS!$E:$E,MOVEMENTS!$D:$D,$B46,MOVEMENTS!$F:$F,"Return to Warehouse")</f>
        <v/>
      </c>
      <c r="F46" s="8">
        <f>SUMIFS(MOVEMENTS!$E:$E,MOVEMENTS!$D:$D,$B46,MOVEMENTS!$F:$F,"Used on House")</f>
        <v/>
      </c>
      <c r="G46" s="8">
        <f>C46-D46+E46-F46</f>
        <v/>
      </c>
    </row>
    <row r="47">
      <c r="B47" s="14" t="inlineStr">
        <is>
          <t>End cap black left</t>
        </is>
      </c>
      <c r="C47" s="8" t="n">
        <v>16</v>
      </c>
      <c r="D47" s="8">
        <f>SUMIFS(MOVEMENTS!$E:$E,MOVEMENTS!$D:$D,$B47,MOVEMENTS!$F:$F,"Delivery to House")</f>
        <v/>
      </c>
      <c r="E47" s="8">
        <f>SUMIFS(MOVEMENTS!$E:$E,MOVEMENTS!$D:$D,$B47,MOVEMENTS!$F:$F,"Return to Warehouse")</f>
        <v/>
      </c>
      <c r="F47" s="8">
        <f>SUMIFS(MOVEMENTS!$E:$E,MOVEMENTS!$D:$D,$B47,MOVEMENTS!$F:$F,"Used on House")</f>
        <v/>
      </c>
      <c r="G47" s="8">
        <f>C47-D47+E47-F47</f>
        <v/>
      </c>
    </row>
    <row r="48">
      <c r="B48" s="14" t="inlineStr">
        <is>
          <t>End cap black right</t>
        </is>
      </c>
      <c r="C48" s="8" t="n">
        <v>14</v>
      </c>
      <c r="D48" s="8">
        <f>SUMIFS(MOVEMENTS!$E:$E,MOVEMENTS!$D:$D,$B48,MOVEMENTS!$F:$F,"Delivery to House")</f>
        <v/>
      </c>
      <c r="E48" s="8">
        <f>SUMIFS(MOVEMENTS!$E:$E,MOVEMENTS!$D:$D,$B48,MOVEMENTS!$F:$F,"Return to Warehouse")</f>
        <v/>
      </c>
      <c r="F48" s="8">
        <f>SUMIFS(MOVEMENTS!$E:$E,MOVEMENTS!$D:$D,$B48,MOVEMENTS!$F:$F,"Used on House")</f>
        <v/>
      </c>
      <c r="G48" s="8">
        <f>C48-D48+E48-F48</f>
        <v/>
      </c>
    </row>
    <row r="49">
      <c r="B49" s="15" t="inlineStr">
        <is>
          <t>End cap brown left</t>
        </is>
      </c>
      <c r="C49" s="8" t="n">
        <v>2</v>
      </c>
      <c r="D49" s="8">
        <f>SUMIFS(MOVEMENTS!$E:$E,MOVEMENTS!$D:$D,$B49,MOVEMENTS!$F:$F,"Delivery to House")</f>
        <v/>
      </c>
      <c r="E49" s="8">
        <f>SUMIFS(MOVEMENTS!$E:$E,MOVEMENTS!$D:$D,$B49,MOVEMENTS!$F:$F,"Return to Warehouse")</f>
        <v/>
      </c>
      <c r="F49" s="8">
        <f>SUMIFS(MOVEMENTS!$E:$E,MOVEMENTS!$D:$D,$B49,MOVEMENTS!$F:$F,"Used on House")</f>
        <v/>
      </c>
      <c r="G49" s="8">
        <f>C49-D49+E49-F49</f>
        <v/>
      </c>
    </row>
    <row r="50">
      <c r="B50" s="15" t="inlineStr">
        <is>
          <t>End cap brown right</t>
        </is>
      </c>
      <c r="C50" s="8" t="n">
        <v>2</v>
      </c>
      <c r="D50" s="8">
        <f>SUMIFS(MOVEMENTS!$E:$E,MOVEMENTS!$D:$D,$B50,MOVEMENTS!$F:$F,"Delivery to House")</f>
        <v/>
      </c>
      <c r="E50" s="8">
        <f>SUMIFS(MOVEMENTS!$E:$E,MOVEMENTS!$D:$D,$B50,MOVEMENTS!$F:$F,"Return to Warehouse")</f>
        <v/>
      </c>
      <c r="F50" s="8">
        <f>SUMIFS(MOVEMENTS!$E:$E,MOVEMENTS!$D:$D,$B50,MOVEMENTS!$F:$F,"Used on House")</f>
        <v/>
      </c>
      <c r="G50" s="8">
        <f>C50-D50+E50-F50</f>
        <v/>
      </c>
    </row>
    <row r="51">
      <c r="B51" s="8" t="inlineStr">
        <is>
          <t>Silicone white</t>
        </is>
      </c>
      <c r="C51" s="8" t="n">
        <v>50</v>
      </c>
      <c r="D51" s="8">
        <f>SUMIFS(MOVEMENTS!$E:$E,MOVEMENTS!$D:$D,$B51,MOVEMENTS!$F:$F,"Delivery to House")</f>
        <v/>
      </c>
      <c r="E51" s="8">
        <f>SUMIFS(MOVEMENTS!$E:$E,MOVEMENTS!$D:$D,$B51,MOVEMENTS!$F:$F,"Return to Warehouse")</f>
        <v/>
      </c>
      <c r="F51" s="8">
        <f>SUMIFS(MOVEMENTS!$E:$E,MOVEMENTS!$D:$D,$B51,MOVEMENTS!$F:$F,"Used on House")</f>
        <v/>
      </c>
      <c r="G51" s="8">
        <f>C51-D51+E51-F51</f>
        <v/>
      </c>
    </row>
    <row r="52">
      <c r="B52" s="14" t="inlineStr">
        <is>
          <t>Silicone Black</t>
        </is>
      </c>
      <c r="C52" s="8" t="n">
        <v>5</v>
      </c>
      <c r="D52" s="8">
        <f>SUMIFS(MOVEMENTS!$E:$E,MOVEMENTS!$D:$D,$B52,MOVEMENTS!$F:$F,"Delivery to House")</f>
        <v/>
      </c>
      <c r="E52" s="8">
        <f>SUMIFS(MOVEMENTS!$E:$E,MOVEMENTS!$D:$D,$B52,MOVEMENTS!$F:$F,"Return to Warehouse")</f>
        <v/>
      </c>
      <c r="F52" s="8">
        <f>SUMIFS(MOVEMENTS!$E:$E,MOVEMENTS!$D:$D,$B52,MOVEMENTS!$F:$F,"Used on House")</f>
        <v/>
      </c>
      <c r="G52" s="8">
        <f>C52-D52+E52-F52</f>
        <v/>
      </c>
    </row>
    <row r="53">
      <c r="B53" s="20" t="inlineStr">
        <is>
          <t>Silicone grey</t>
        </is>
      </c>
      <c r="C53" s="8" t="n">
        <v>23</v>
      </c>
      <c r="D53" s="8">
        <f>SUMIFS(MOVEMENTS!$E:$E,MOVEMENTS!$D:$D,$B53,MOVEMENTS!$F:$F,"Delivery to House")</f>
        <v/>
      </c>
      <c r="E53" s="8">
        <f>SUMIFS(MOVEMENTS!$E:$E,MOVEMENTS!$D:$D,$B53,MOVEMENTS!$F:$F,"Return to Warehouse")</f>
        <v/>
      </c>
      <c r="F53" s="8">
        <f>SUMIFS(MOVEMENTS!$E:$E,MOVEMENTS!$D:$D,$B53,MOVEMENTS!$F:$F,"Used on House")</f>
        <v/>
      </c>
      <c r="G53" s="8">
        <f>C53-D53+E53-F53</f>
        <v/>
      </c>
    </row>
    <row r="54">
      <c r="B54" s="15" t="inlineStr">
        <is>
          <t>Silicone Brown</t>
        </is>
      </c>
      <c r="C54" s="8" t="n">
        <v>26</v>
      </c>
      <c r="D54" s="8">
        <f>SUMIFS(MOVEMENTS!$E:$E,MOVEMENTS!$D:$D,$B54,MOVEMENTS!$F:$F,"Delivery to House")</f>
        <v/>
      </c>
      <c r="E54" s="8">
        <f>SUMIFS(MOVEMENTS!$E:$E,MOVEMENTS!$D:$D,$B54,MOVEMENTS!$F:$F,"Return to Warehouse")</f>
        <v/>
      </c>
      <c r="F54" s="8">
        <f>SUMIFS(MOVEMENTS!$E:$E,MOVEMENTS!$D:$D,$B54,MOVEMENTS!$F:$F,"Used on House")</f>
        <v/>
      </c>
      <c r="G54" s="8">
        <f>C54-D54+E54-F54</f>
        <v/>
      </c>
    </row>
    <row r="55">
      <c r="B55" s="8" t="inlineStr">
        <is>
          <t>Blue plastic protection window</t>
        </is>
      </c>
      <c r="C55" s="8" t="n">
        <v>6</v>
      </c>
      <c r="D55" s="8">
        <f>SUMIFS(MOVEMENTS!$E:$E,MOVEMENTS!$D:$D,$B55,MOVEMENTS!$F:$F,"Delivery to House")</f>
        <v/>
      </c>
      <c r="E55" s="8">
        <f>SUMIFS(MOVEMENTS!$E:$E,MOVEMENTS!$D:$D,$B55,MOVEMENTS!$F:$F,"Return to Warehouse")</f>
        <v/>
      </c>
      <c r="F55" s="8">
        <f>SUMIFS(MOVEMENTS!$E:$E,MOVEMENTS!$D:$D,$B55,MOVEMENTS!$F:$F,"Used on House")</f>
        <v/>
      </c>
      <c r="G55" s="8">
        <f>C55-D55+E55-F55</f>
        <v/>
      </c>
    </row>
    <row r="56">
      <c r="A56" s="17" t="inlineStr">
        <is>
          <t>31954</t>
        </is>
      </c>
      <c r="B56" s="8" t="inlineStr">
        <is>
          <t>Black plastic protection</t>
        </is>
      </c>
      <c r="C56" s="8" t="n">
        <v>7</v>
      </c>
      <c r="D56" s="8">
        <f>SUMIFS(MOVEMENTS!$E:$E,MOVEMENTS!$D:$D,$B56,MOVEMENTS!$F:$F,"Delivery to House")</f>
        <v/>
      </c>
      <c r="E56" s="8">
        <f>SUMIFS(MOVEMENTS!$E:$E,MOVEMENTS!$D:$D,$B56,MOVEMENTS!$F:$F,"Return to Warehouse")</f>
        <v/>
      </c>
      <c r="F56" s="8">
        <f>SUMIFS(MOVEMENTS!$E:$E,MOVEMENTS!$D:$D,$B56,MOVEMENTS!$F:$F,"Used on House")</f>
        <v/>
      </c>
      <c r="G56" s="8">
        <f>C56-D56+E56-F56</f>
        <v/>
      </c>
    </row>
    <row r="57">
      <c r="A57" s="17" t="inlineStr">
        <is>
          <t>31956</t>
        </is>
      </c>
      <c r="B57" s="8" t="inlineStr">
        <is>
          <t>Black card protection</t>
        </is>
      </c>
      <c r="C57" s="8" t="n">
        <v>260</v>
      </c>
      <c r="D57" s="8">
        <f>SUMIFS(MOVEMENTS!$E:$E,MOVEMENTS!$D:$D,$B57,MOVEMENTS!$F:$F,"Delivery to House")</f>
        <v/>
      </c>
      <c r="E57" s="8">
        <f>SUMIFS(MOVEMENTS!$E:$E,MOVEMENTS!$D:$D,$B57,MOVEMENTS!$F:$F,"Return to Warehouse")</f>
        <v/>
      </c>
      <c r="F57" s="8">
        <f>SUMIFS(MOVEMENTS!$E:$E,MOVEMENTS!$D:$D,$B57,MOVEMENTS!$F:$F,"Used on House")</f>
        <v/>
      </c>
      <c r="G57" s="8">
        <f>C57-D57+E57-F57</f>
        <v/>
      </c>
    </row>
    <row r="58">
      <c r="B58" s="8" t="inlineStr">
        <is>
          <t>Downpipe white</t>
        </is>
      </c>
      <c r="C58" s="8" t="n">
        <v>5</v>
      </c>
      <c r="D58" s="8">
        <f>SUMIFS(MOVEMENTS!$E:$E,MOVEMENTS!$D:$D,$B58,MOVEMENTS!$F:$F,"Delivery to House")</f>
        <v/>
      </c>
      <c r="E58" s="8">
        <f>SUMIFS(MOVEMENTS!$E:$E,MOVEMENTS!$D:$D,$B58,MOVEMENTS!$F:$F,"Return to Warehouse")</f>
        <v/>
      </c>
      <c r="F58" s="8">
        <f>SUMIFS(MOVEMENTS!$E:$E,MOVEMENTS!$D:$D,$B58,MOVEMENTS!$F:$F,"Used on House")</f>
        <v/>
      </c>
      <c r="G58" s="8">
        <f>C58-D58+E58-F58</f>
        <v/>
      </c>
    </row>
    <row r="59">
      <c r="B59" s="8" t="inlineStr">
        <is>
          <t>Downpipe black</t>
        </is>
      </c>
      <c r="C59" s="8" t="n">
        <v>14</v>
      </c>
      <c r="D59" s="8">
        <f>SUMIFS(MOVEMENTS!$E:$E,MOVEMENTS!$D:$D,$B59,MOVEMENTS!$F:$F,"Delivery to House")</f>
        <v/>
      </c>
      <c r="E59" s="8">
        <f>SUMIFS(MOVEMENTS!$E:$E,MOVEMENTS!$D:$D,$B59,MOVEMENTS!$F:$F,"Return to Warehouse")</f>
        <v/>
      </c>
      <c r="F59" s="8">
        <f>SUMIFS(MOVEMENTS!$E:$E,MOVEMENTS!$D:$D,$B59,MOVEMENTS!$F:$F,"Used on House")</f>
        <v/>
      </c>
      <c r="G59" s="8">
        <f>C59-D59+E59-F59</f>
        <v/>
      </c>
    </row>
    <row r="60">
      <c r="B60" s="8" t="inlineStr">
        <is>
          <t>Downpipe brown</t>
        </is>
      </c>
      <c r="C60" s="8" t="n">
        <v>7</v>
      </c>
      <c r="D60" s="8">
        <f>SUMIFS(MOVEMENTS!$E:$E,MOVEMENTS!$D:$D,$B60,MOVEMENTS!$F:$F,"Delivery to House")</f>
        <v/>
      </c>
      <c r="E60" s="8">
        <f>SUMIFS(MOVEMENTS!$E:$E,MOVEMENTS!$D:$D,$B60,MOVEMENTS!$F:$F,"Return to Warehouse")</f>
        <v/>
      </c>
      <c r="F60" s="8">
        <f>SUMIFS(MOVEMENTS!$E:$E,MOVEMENTS!$D:$D,$B60,MOVEMENTS!$F:$F,"Used on House")</f>
        <v/>
      </c>
      <c r="G60" s="8">
        <f>C60-D60+E60-F60</f>
        <v/>
      </c>
    </row>
    <row r="61">
      <c r="B61" s="8" t="inlineStr">
        <is>
          <t>45 deg connector white</t>
        </is>
      </c>
      <c r="C61" s="8" t="n">
        <v>0</v>
      </c>
      <c r="D61" s="8">
        <f>SUMIFS(MOVEMENTS!$E:$E,MOVEMENTS!$D:$D,$B61,MOVEMENTS!$F:$F,"Delivery to House")</f>
        <v/>
      </c>
      <c r="E61" s="8">
        <f>SUMIFS(MOVEMENTS!$E:$E,MOVEMENTS!$D:$D,$B61,MOVEMENTS!$F:$F,"Return to Warehouse")</f>
        <v/>
      </c>
      <c r="F61" s="8">
        <f>SUMIFS(MOVEMENTS!$E:$E,MOVEMENTS!$D:$D,$B61,MOVEMENTS!$F:$F,"Used on House")</f>
        <v/>
      </c>
      <c r="G61" s="8">
        <f>C61-D61+E61-F61</f>
        <v/>
      </c>
    </row>
    <row r="62">
      <c r="B62" s="8" t="inlineStr">
        <is>
          <t>45 deg connector black</t>
        </is>
      </c>
      <c r="C62" s="8" t="n">
        <v>29</v>
      </c>
      <c r="D62" s="8">
        <f>SUMIFS(MOVEMENTS!$E:$E,MOVEMENTS!$D:$D,$B62,MOVEMENTS!$F:$F,"Delivery to House")</f>
        <v/>
      </c>
      <c r="E62" s="8">
        <f>SUMIFS(MOVEMENTS!$E:$E,MOVEMENTS!$D:$D,$B62,MOVEMENTS!$F:$F,"Return to Warehouse")</f>
        <v/>
      </c>
      <c r="F62" s="8">
        <f>SUMIFS(MOVEMENTS!$E:$E,MOVEMENTS!$D:$D,$B62,MOVEMENTS!$F:$F,"Used on House")</f>
        <v/>
      </c>
      <c r="G62" s="8">
        <f>C62-D62+E62-F62</f>
        <v/>
      </c>
    </row>
    <row r="63">
      <c r="B63" s="8" t="inlineStr">
        <is>
          <t>45 deg connector brown</t>
        </is>
      </c>
      <c r="C63" s="8" t="n">
        <v>40</v>
      </c>
      <c r="D63" s="8">
        <f>SUMIFS(MOVEMENTS!$E:$E,MOVEMENTS!$D:$D,$B63,MOVEMENTS!$F:$F,"Delivery to House")</f>
        <v/>
      </c>
      <c r="E63" s="8">
        <f>SUMIFS(MOVEMENTS!$E:$E,MOVEMENTS!$D:$D,$B63,MOVEMENTS!$F:$F,"Return to Warehouse")</f>
        <v/>
      </c>
      <c r="F63" s="8">
        <f>SUMIFS(MOVEMENTS!$E:$E,MOVEMENTS!$D:$D,$B63,MOVEMENTS!$F:$F,"Used on House")</f>
        <v/>
      </c>
      <c r="G63" s="8">
        <f>C63-D63+E63-F63</f>
        <v/>
      </c>
    </row>
    <row r="64">
      <c r="B64" s="8" t="inlineStr">
        <is>
          <t>Downpipe brackets long white</t>
        </is>
      </c>
      <c r="C64" s="8" t="n">
        <v>45</v>
      </c>
      <c r="D64" s="8">
        <f>SUMIFS(MOVEMENTS!$E:$E,MOVEMENTS!$D:$D,$B64,MOVEMENTS!$F:$F,"Delivery to House")</f>
        <v/>
      </c>
      <c r="E64" s="8">
        <f>SUMIFS(MOVEMENTS!$E:$E,MOVEMENTS!$D:$D,$B64,MOVEMENTS!$F:$F,"Return to Warehouse")</f>
        <v/>
      </c>
      <c r="F64" s="8">
        <f>SUMIFS(MOVEMENTS!$E:$E,MOVEMENTS!$D:$D,$B64,MOVEMENTS!$F:$F,"Used on House")</f>
        <v/>
      </c>
      <c r="G64" s="8">
        <f>C64-D64+E64-F64</f>
        <v/>
      </c>
    </row>
    <row r="65">
      <c r="B65" s="8" t="inlineStr">
        <is>
          <t>Downpipe brackets long black</t>
        </is>
      </c>
      <c r="C65" s="8" t="n">
        <v>120</v>
      </c>
      <c r="D65" s="8">
        <f>SUMIFS(MOVEMENTS!$E:$E,MOVEMENTS!$D:$D,$B65,MOVEMENTS!$F:$F,"Delivery to House")</f>
        <v/>
      </c>
      <c r="E65" s="8">
        <f>SUMIFS(MOVEMENTS!$E:$E,MOVEMENTS!$D:$D,$B65,MOVEMENTS!$F:$F,"Return to Warehouse")</f>
        <v/>
      </c>
      <c r="F65" s="8">
        <f>SUMIFS(MOVEMENTS!$E:$E,MOVEMENTS!$D:$D,$B65,MOVEMENTS!$F:$F,"Used on House")</f>
        <v/>
      </c>
      <c r="G65" s="8">
        <f>C65-D65+E65-F65</f>
        <v/>
      </c>
    </row>
    <row r="66">
      <c r="B66" s="8" t="inlineStr">
        <is>
          <t>Downpipe brackets long brown</t>
        </is>
      </c>
      <c r="C66" s="8" t="n">
        <v>50</v>
      </c>
      <c r="D66" s="8">
        <f>SUMIFS(MOVEMENTS!$E:$E,MOVEMENTS!$D:$D,$B66,MOVEMENTS!$F:$F,"Delivery to House")</f>
        <v/>
      </c>
      <c r="E66" s="8">
        <f>SUMIFS(MOVEMENTS!$E:$E,MOVEMENTS!$D:$D,$B66,MOVEMENTS!$F:$F,"Return to Warehouse")</f>
        <v/>
      </c>
      <c r="F66" s="8">
        <f>SUMIFS(MOVEMENTS!$E:$E,MOVEMENTS!$D:$D,$B66,MOVEMENTS!$F:$F,"Used on House")</f>
        <v/>
      </c>
      <c r="G66" s="8">
        <f>C66-D66+E66-F66</f>
        <v/>
      </c>
    </row>
    <row r="67">
      <c r="B67" s="8" t="inlineStr">
        <is>
          <t>Downpipe brackets short white</t>
        </is>
      </c>
      <c r="C67" s="8" t="n">
        <v>35</v>
      </c>
      <c r="D67" s="8">
        <f>SUMIFS(MOVEMENTS!$E:$E,MOVEMENTS!$D:$D,$B67,MOVEMENTS!$F:$F,"Delivery to House")</f>
        <v/>
      </c>
      <c r="E67" s="8">
        <f>SUMIFS(MOVEMENTS!$E:$E,MOVEMENTS!$D:$D,$B67,MOVEMENTS!$F:$F,"Return to Warehouse")</f>
        <v/>
      </c>
      <c r="F67" s="8">
        <f>SUMIFS(MOVEMENTS!$E:$E,MOVEMENTS!$D:$D,$B67,MOVEMENTS!$F:$F,"Used on House")</f>
        <v/>
      </c>
      <c r="G67" s="8">
        <f>C67-D67+E67-F67</f>
        <v/>
      </c>
    </row>
    <row r="68">
      <c r="B68" s="8" t="inlineStr">
        <is>
          <t>Downpipe brackets short black</t>
        </is>
      </c>
      <c r="C68" s="8" t="n">
        <v>50</v>
      </c>
      <c r="D68" s="8">
        <f>SUMIFS(MOVEMENTS!$E:$E,MOVEMENTS!$D:$D,$B68,MOVEMENTS!$F:$F,"Delivery to House")</f>
        <v/>
      </c>
      <c r="E68" s="8">
        <f>SUMIFS(MOVEMENTS!$E:$E,MOVEMENTS!$D:$D,$B68,MOVEMENTS!$F:$F,"Return to Warehouse")</f>
        <v/>
      </c>
      <c r="F68" s="8">
        <f>SUMIFS(MOVEMENTS!$E:$E,MOVEMENTS!$D:$D,$B68,MOVEMENTS!$F:$F,"Used on House")</f>
        <v/>
      </c>
      <c r="G68" s="8">
        <f>C68-D68+E68-F68</f>
        <v/>
      </c>
    </row>
    <row r="69">
      <c r="B69" s="8" t="inlineStr">
        <is>
          <t>Downpipe brackets short brown</t>
        </is>
      </c>
      <c r="C69" s="8" t="n">
        <v>30</v>
      </c>
      <c r="D69" s="8">
        <f>SUMIFS(MOVEMENTS!$E:$E,MOVEMENTS!$D:$D,$B69,MOVEMENTS!$F:$F,"Delivery to House")</f>
        <v/>
      </c>
      <c r="E69" s="8">
        <f>SUMIFS(MOVEMENTS!$E:$E,MOVEMENTS!$D:$D,$B69,MOVEMENTS!$F:$F,"Return to Warehouse")</f>
        <v/>
      </c>
      <c r="F69" s="8">
        <f>SUMIFS(MOVEMENTS!$E:$E,MOVEMENTS!$D:$D,$B69,MOVEMENTS!$F:$F,"Used on House")</f>
        <v/>
      </c>
      <c r="G69" s="8">
        <f>C69-D69+E69-F69</f>
        <v/>
      </c>
    </row>
    <row r="70">
      <c r="B70" s="8" t="inlineStr">
        <is>
          <t>Downpipe shoe white</t>
        </is>
      </c>
      <c r="C70" s="8" t="n">
        <v>35</v>
      </c>
      <c r="D70" s="8">
        <f>SUMIFS(MOVEMENTS!$E:$E,MOVEMENTS!$D:$D,$B70,MOVEMENTS!$F:$F,"Delivery to House")</f>
        <v/>
      </c>
      <c r="E70" s="8">
        <f>SUMIFS(MOVEMENTS!$E:$E,MOVEMENTS!$D:$D,$B70,MOVEMENTS!$F:$F,"Return to Warehouse")</f>
        <v/>
      </c>
      <c r="F70" s="8">
        <f>SUMIFS(MOVEMENTS!$E:$E,MOVEMENTS!$D:$D,$B70,MOVEMENTS!$F:$F,"Used on House")</f>
        <v/>
      </c>
      <c r="G70" s="8">
        <f>C70-D70+E70-F70</f>
        <v/>
      </c>
    </row>
    <row r="71">
      <c r="B71" s="8" t="inlineStr">
        <is>
          <t>Downpipe shoe black</t>
        </is>
      </c>
      <c r="C71" s="8" t="n">
        <v>34</v>
      </c>
      <c r="D71" s="8">
        <f>SUMIFS(MOVEMENTS!$E:$E,MOVEMENTS!$D:$D,$B71,MOVEMENTS!$F:$F,"Delivery to House")</f>
        <v/>
      </c>
      <c r="E71" s="8">
        <f>SUMIFS(MOVEMENTS!$E:$E,MOVEMENTS!$D:$D,$B71,MOVEMENTS!$F:$F,"Return to Warehouse")</f>
        <v/>
      </c>
      <c r="F71" s="8">
        <f>SUMIFS(MOVEMENTS!$E:$E,MOVEMENTS!$D:$D,$B71,MOVEMENTS!$F:$F,"Used on House")</f>
        <v/>
      </c>
      <c r="G71" s="8">
        <f>C71-D71+E71-F71</f>
        <v/>
      </c>
    </row>
    <row r="72">
      <c r="B72" s="8" t="inlineStr">
        <is>
          <t>Downpipe shoe brown</t>
        </is>
      </c>
      <c r="C72" s="8" t="n">
        <v>14</v>
      </c>
      <c r="D72" s="8">
        <f>SUMIFS(MOVEMENTS!$E:$E,MOVEMENTS!$D:$D,$B72,MOVEMENTS!$F:$F,"Delivery to House")</f>
        <v/>
      </c>
      <c r="E72" s="8">
        <f>SUMIFS(MOVEMENTS!$E:$E,MOVEMENTS!$D:$D,$B72,MOVEMENTS!$F:$F,"Return to Warehouse")</f>
        <v/>
      </c>
      <c r="F72" s="8">
        <f>SUMIFS(MOVEMENTS!$E:$E,MOVEMENTS!$D:$D,$B72,MOVEMENTS!$F:$F,"Used on House")</f>
        <v/>
      </c>
      <c r="G72" s="8">
        <f>C72-D72+E72-F72</f>
        <v/>
      </c>
    </row>
    <row r="73">
      <c r="B73" s="8" t="inlineStr">
        <is>
          <t>Screw 5mm/40mm</t>
        </is>
      </c>
      <c r="C73" s="8" t="inlineStr">
        <is>
          <t>?</t>
        </is>
      </c>
      <c r="D73" s="8">
        <f>SUMIFS(MOVEMENTS!$E:$E,MOVEMENTS!$D:$D,$B73,MOVEMENTS!$F:$F,"Delivery to House")</f>
        <v/>
      </c>
      <c r="E73" s="8">
        <f>SUMIFS(MOVEMENTS!$E:$E,MOVEMENTS!$D:$D,$B73,MOVEMENTS!$F:$F,"Return to Warehouse")</f>
        <v/>
      </c>
      <c r="F73" s="8">
        <f>SUMIFS(MOVEMENTS!$E:$E,MOVEMENTS!$D:$D,$B73,MOVEMENTS!$F:$F,"Used on House")</f>
        <v/>
      </c>
      <c r="G73" s="8">
        <f>C73-D73+E73-F73</f>
        <v/>
      </c>
    </row>
    <row r="74">
      <c r="B74" s="8" t="inlineStr">
        <is>
          <t>Screw 4mm/40mm</t>
        </is>
      </c>
      <c r="C74" s="8" t="inlineStr">
        <is>
          <t>?</t>
        </is>
      </c>
      <c r="D74" s="8">
        <f>SUMIFS(MOVEMENTS!$E:$E,MOVEMENTS!$D:$D,$B74,MOVEMENTS!$F:$F,"Delivery to House")</f>
        <v/>
      </c>
      <c r="E74" s="8">
        <f>SUMIFS(MOVEMENTS!$E:$E,MOVEMENTS!$D:$D,$B74,MOVEMENTS!$F:$F,"Return to Warehouse")</f>
        <v/>
      </c>
      <c r="F74" s="8">
        <f>SUMIFS(MOVEMENTS!$E:$E,MOVEMENTS!$D:$D,$B74,MOVEMENTS!$F:$F,"Used on House")</f>
        <v/>
      </c>
      <c r="G74" s="8">
        <f>C74-D74+E74-F74</f>
        <v/>
      </c>
    </row>
    <row r="75">
      <c r="B75" s="8" t="inlineStr">
        <is>
          <t>Screw 4mm/50mm</t>
        </is>
      </c>
      <c r="C75" s="8" t="inlineStr">
        <is>
          <t>?</t>
        </is>
      </c>
      <c r="D75" s="8">
        <f>SUMIFS(MOVEMENTS!$E:$E,MOVEMENTS!$D:$D,$B75,MOVEMENTS!$F:$F,"Delivery to House")</f>
        <v/>
      </c>
      <c r="E75" s="8">
        <f>SUMIFS(MOVEMENTS!$E:$E,MOVEMENTS!$D:$D,$B75,MOVEMENTS!$F:$F,"Return to Warehouse")</f>
        <v/>
      </c>
      <c r="F75" s="8">
        <f>SUMIFS(MOVEMENTS!$E:$E,MOVEMENTS!$D:$D,$B75,MOVEMENTS!$F:$F,"Used on House")</f>
        <v/>
      </c>
      <c r="G75" s="8">
        <f>C75-D75+E75-F75</f>
        <v/>
      </c>
    </row>
    <row r="76">
      <c r="B76" s="8" t="inlineStr">
        <is>
          <t>Black rubbish bag</t>
        </is>
      </c>
      <c r="C76" s="8" t="inlineStr">
        <is>
          <t>?</t>
        </is>
      </c>
      <c r="D76" s="8">
        <f>SUMIFS(MOVEMENTS!$E:$E,MOVEMENTS!$D:$D,$B76,MOVEMENTS!$F:$F,"Delivery to House")</f>
        <v/>
      </c>
      <c r="E76" s="8">
        <f>SUMIFS(MOVEMENTS!$E:$E,MOVEMENTS!$D:$D,$B76,MOVEMENTS!$F:$F,"Return to Warehouse")</f>
        <v/>
      </c>
      <c r="F76" s="8">
        <f>SUMIFS(MOVEMENTS!$E:$E,MOVEMENTS!$D:$D,$B76,MOVEMENTS!$F:$F,"Used on House")</f>
        <v/>
      </c>
      <c r="G76" s="8">
        <f>C76-D76+E76-F76</f>
        <v/>
      </c>
    </row>
    <row r="77">
      <c r="B77" s="8" t="inlineStr">
        <is>
          <t>Duty bag</t>
        </is>
      </c>
      <c r="C77" s="8" t="inlineStr">
        <is>
          <t>?</t>
        </is>
      </c>
      <c r="D77" s="8">
        <f>SUMIFS(MOVEMENTS!$E:$E,MOVEMENTS!$D:$D,$B77,MOVEMENTS!$F:$F,"Delivery to House")</f>
        <v/>
      </c>
      <c r="E77" s="8">
        <f>SUMIFS(MOVEMENTS!$E:$E,MOVEMENTS!$D:$D,$B77,MOVEMENTS!$F:$F,"Return to Warehouse")</f>
        <v/>
      </c>
      <c r="F77" s="8">
        <f>SUMIFS(MOVEMENTS!$E:$E,MOVEMENTS!$D:$D,$B77,MOVEMENTS!$F:$F,"Used on House")</f>
        <v/>
      </c>
      <c r="G77" s="8">
        <f>C77-D77+E77-F77</f>
        <v/>
      </c>
    </row>
    <row r="78">
      <c r="B78" s="8" t="inlineStr">
        <is>
          <t>Boby bag</t>
        </is>
      </c>
      <c r="C78" s="8" t="inlineStr">
        <is>
          <t>?</t>
        </is>
      </c>
      <c r="D78" s="8">
        <f>SUMIFS(MOVEMENTS!$E:$E,MOVEMENTS!$D:$D,$B78,MOVEMENTS!$F:$F,"Delivery to House")</f>
        <v/>
      </c>
      <c r="E78" s="8">
        <f>SUMIFS(MOVEMENTS!$E:$E,MOVEMENTS!$D:$D,$B78,MOVEMENTS!$F:$F,"Return to Warehouse")</f>
        <v/>
      </c>
      <c r="F78" s="8">
        <f>SUMIFS(MOVEMENTS!$E:$E,MOVEMENTS!$D:$D,$B78,MOVEMENTS!$F:$F,"Used on House")</f>
        <v/>
      </c>
      <c r="G78" s="8">
        <f>C78-D78+E78-F78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pane ySplit="1" topLeftCell="A2" activePane="bottomLeft" state="frozen"/>
      <selection pane="bottomLeft" activeCell="F12" sqref="F12"/>
    </sheetView>
  </sheetViews>
  <sheetFormatPr baseColWidth="8" defaultRowHeight="15"/>
  <cols>
    <col width="13" customWidth="1" min="1" max="1"/>
    <col width="35" customWidth="1" min="2" max="2"/>
    <col width="6" customWidth="1" min="3" max="3"/>
    <col width="17" customWidth="1" min="4" max="4"/>
    <col width="15" customWidth="1" min="5" max="5"/>
    <col width="20" customWidth="1" min="6" max="6"/>
    <col width="16" customWidth="1" min="7" max="7"/>
    <col width="23" customWidth="1" min="8" max="8"/>
    <col width="15" customWidth="1" min="9" max="9"/>
    <col width="14" customWidth="1" min="10" max="10"/>
  </cols>
  <sheetData>
    <row r="1">
      <c r="A1" s="28" t="inlineStr">
        <is>
          <t>Material ID</t>
        </is>
      </c>
      <c r="B1" s="28" t="inlineStr">
        <is>
          <t>Material</t>
        </is>
      </c>
      <c r="C1" s="28" t="inlineStr">
        <is>
          <t>Unit</t>
        </is>
      </c>
      <c r="D1" s="28" t="inlineStr">
        <is>
          <t>Supplier</t>
        </is>
      </c>
      <c r="E1" s="28" t="inlineStr">
        <is>
          <t>New Price (€)</t>
        </is>
      </c>
      <c r="F1" s="28" t="inlineStr">
        <is>
          <t>Previous Price (€)</t>
        </is>
      </c>
      <c r="G1" s="28" t="inlineStr">
        <is>
          <t>Difference (€)</t>
        </is>
      </c>
      <c r="H1" s="28" t="inlineStr">
        <is>
          <t>Change %</t>
        </is>
      </c>
      <c r="I1" s="28" t="inlineStr">
        <is>
          <t>Last Invoice</t>
        </is>
      </c>
      <c r="J1" s="28" t="inlineStr">
        <is>
          <t>Last Updated</t>
        </is>
      </c>
    </row>
    <row r="2">
      <c r="B2" t="inlineStr">
        <is>
          <t>Mortage bags(Glue)</t>
        </is>
      </c>
      <c r="C2" t="inlineStr">
        <is>
          <t>bag</t>
        </is>
      </c>
      <c r="D2" t="inlineStr">
        <is>
          <t>Test Supplier A</t>
        </is>
      </c>
      <c r="E2" s="26" t="n">
        <v>12.5</v>
      </c>
      <c r="F2" s="26" t="n">
        <v>12.5</v>
      </c>
      <c r="G2" s="26">
        <f>E2-F2</f>
        <v/>
      </c>
      <c r="H2" s="27">
        <f>IF(F2=0,"",G2/F2)</f>
        <v/>
      </c>
      <c r="I2" t="inlineStr">
        <is>
          <t>TEST-INV-1001</t>
        </is>
      </c>
      <c r="J2" t="inlineStr">
        <is>
          <t>11/09/2026</t>
        </is>
      </c>
    </row>
    <row r="3">
      <c r="B3" t="inlineStr">
        <is>
          <t>Soil bend 110mm x 90deg S/S black</t>
        </is>
      </c>
      <c r="C3" t="inlineStr">
        <is>
          <t>bale</t>
        </is>
      </c>
      <c r="D3" t="inlineStr">
        <is>
          <t>Test Supplier A</t>
        </is>
      </c>
      <c r="E3" s="26" t="n">
        <v>48</v>
      </c>
      <c r="F3" s="26" t="n">
        <v>48</v>
      </c>
      <c r="G3" s="26">
        <f>E3-F3</f>
        <v/>
      </c>
      <c r="H3" s="27">
        <f>IF(F3=0,"",G3/F3)</f>
        <v/>
      </c>
      <c r="I3" t="inlineStr">
        <is>
          <t>TEST-INV-1001</t>
        </is>
      </c>
      <c r="J3" t="inlineStr">
        <is>
          <t>11/09/2026</t>
        </is>
      </c>
    </row>
    <row r="4">
      <c r="A4" t="inlineStr">
        <is>
          <t>12236</t>
        </is>
      </c>
      <c r="B4" t="inlineStr">
        <is>
          <t>Board 20mm white</t>
        </is>
      </c>
      <c r="C4" t="inlineStr">
        <is>
          <t>roll</t>
        </is>
      </c>
      <c r="D4" t="inlineStr">
        <is>
          <t>Test Supplier A</t>
        </is>
      </c>
      <c r="E4" s="26" t="n">
        <v>72</v>
      </c>
      <c r="F4" s="26" t="n">
        <v>72</v>
      </c>
      <c r="G4" s="26">
        <f>E4-F4</f>
        <v/>
      </c>
      <c r="H4" s="27">
        <f>IF(F4=0,"",G4/F4)</f>
        <v/>
      </c>
      <c r="I4" t="inlineStr">
        <is>
          <t>TEST-INV-1001</t>
        </is>
      </c>
      <c r="J4" t="inlineStr">
        <is>
          <t>11/09/2026</t>
        </is>
      </c>
    </row>
    <row r="5">
      <c r="B5" t="inlineStr">
        <is>
          <t>Glue</t>
        </is>
      </c>
      <c r="C5" t="inlineStr">
        <is>
          <t>each</t>
        </is>
      </c>
      <c r="D5" t="inlineStr">
        <is>
          <t>Test Supplier A</t>
        </is>
      </c>
      <c r="E5" s="26" t="n">
        <v>14</v>
      </c>
      <c r="F5" s="26" t="n">
        <v>14</v>
      </c>
      <c r="G5" s="26">
        <f>E5-F5</f>
        <v/>
      </c>
      <c r="H5" s="27">
        <f>IF(F5=0,"",G5/F5)</f>
        <v/>
      </c>
      <c r="I5" t="inlineStr">
        <is>
          <t>TEST-INV-1001</t>
        </is>
      </c>
      <c r="J5" t="inlineStr">
        <is>
          <t>11/09/2026</t>
        </is>
      </c>
    </row>
    <row r="6">
      <c r="A6" t="inlineStr">
        <is>
          <t>20921</t>
        </is>
      </c>
      <c r="B6" t="inlineStr">
        <is>
          <t>Window profile (2.4m)</t>
        </is>
      </c>
      <c r="C6" t="inlineStr">
        <is>
          <t>bag</t>
        </is>
      </c>
      <c r="D6" t="inlineStr">
        <is>
          <t>Test Supplier A</t>
        </is>
      </c>
      <c r="E6" s="26" t="n">
        <v>75</v>
      </c>
      <c r="F6" s="26" t="n">
        <v>75</v>
      </c>
      <c r="G6" s="26">
        <f>E6-F6</f>
        <v/>
      </c>
      <c r="H6" s="27">
        <f>IF(F6=0,"",G6/F6)</f>
        <v/>
      </c>
      <c r="I6" t="inlineStr">
        <is>
          <t>TEST-INV-1001</t>
        </is>
      </c>
      <c r="J6" t="inlineStr">
        <is>
          <t>11/09/2026</t>
        </is>
      </c>
    </row>
    <row r="7">
      <c r="A7" t="inlineStr">
        <is>
          <t>22593</t>
        </is>
      </c>
      <c r="B7" t="inlineStr">
        <is>
          <t>Starter track 100mm (2m)</t>
        </is>
      </c>
      <c r="C7" t="inlineStr">
        <is>
          <t>bale</t>
        </is>
      </c>
      <c r="D7" t="inlineStr">
        <is>
          <t>Test Supplier A</t>
        </is>
      </c>
      <c r="E7" s="26" t="n">
        <v>46.5</v>
      </c>
      <c r="F7" s="26" t="n">
        <v>46.5</v>
      </c>
      <c r="G7" s="26">
        <f>E7-F7</f>
        <v/>
      </c>
      <c r="H7" s="27">
        <f>IF(F7=0,"",G7/F7)</f>
        <v/>
      </c>
      <c r="I7" t="inlineStr">
        <is>
          <t>TEST-INV-1001</t>
        </is>
      </c>
      <c r="J7" t="inlineStr">
        <is>
          <t>11/09/2026</t>
        </is>
      </c>
    </row>
    <row r="8">
      <c r="B8" t="inlineStr">
        <is>
          <t>Downpipe brackets short brown</t>
        </is>
      </c>
      <c r="C8" t="inlineStr">
        <is>
          <t>roll</t>
        </is>
      </c>
      <c r="D8" t="inlineStr">
        <is>
          <t>Test Supplier A</t>
        </is>
      </c>
      <c r="E8" s="26" t="n">
        <v>7</v>
      </c>
      <c r="F8" s="26" t="n">
        <v>1</v>
      </c>
      <c r="G8" s="26">
        <f>E8-F8</f>
        <v/>
      </c>
      <c r="H8" s="27">
        <f>IF(F8=0,"",G8/F8)</f>
        <v/>
      </c>
      <c r="I8" t="inlineStr">
        <is>
          <t>TEST-INV-1007</t>
        </is>
      </c>
      <c r="J8" t="inlineStr">
        <is>
          <t>2026-09-11</t>
        </is>
      </c>
    </row>
    <row r="9">
      <c r="B9" t="inlineStr">
        <is>
          <t>Boby bag</t>
        </is>
      </c>
      <c r="C9" t="inlineStr">
        <is>
          <t>each</t>
        </is>
      </c>
      <c r="D9" t="inlineStr">
        <is>
          <t>Test Supplier C</t>
        </is>
      </c>
      <c r="E9" s="26" t="n">
        <v>7</v>
      </c>
      <c r="F9" s="26" t="n">
        <v>16.28</v>
      </c>
      <c r="G9" s="26">
        <f>E9-F9</f>
        <v/>
      </c>
      <c r="H9" s="27">
        <f>IF(F9=0,"",G9/F9)</f>
        <v/>
      </c>
      <c r="I9" t="inlineStr">
        <is>
          <t>TEST-INV-1008</t>
        </is>
      </c>
      <c r="J9" t="inlineStr">
        <is>
          <t>2026-09-11</t>
        </is>
      </c>
    </row>
    <row r="10">
      <c r="B10" t="inlineStr">
        <is>
          <t>Gun foam fp404 pink</t>
        </is>
      </c>
      <c r="C10" t="inlineStr">
        <is>
          <t>bag</t>
        </is>
      </c>
      <c r="D10" t="inlineStr">
        <is>
          <t>Test Supplier A</t>
        </is>
      </c>
      <c r="E10" s="26" t="n">
        <v>7</v>
      </c>
      <c r="F10" s="26" t="n">
        <v>0</v>
      </c>
      <c r="G10" s="26">
        <f>E10-F10</f>
        <v/>
      </c>
      <c r="H10" s="27">
        <f>IF(F10=0,"",G10/F10)</f>
        <v/>
      </c>
      <c r="I10" t="inlineStr">
        <is>
          <t>TEST-INV-1009</t>
        </is>
      </c>
      <c r="J10" t="inlineStr">
        <is>
          <t>2026-09-11</t>
        </is>
      </c>
    </row>
    <row r="11">
      <c r="B11" t="inlineStr">
        <is>
          <t>Board 100mm</t>
        </is>
      </c>
      <c r="C11" t="inlineStr">
        <is>
          <t>bale</t>
        </is>
      </c>
      <c r="D11" t="inlineStr">
        <is>
          <t>Test Supplier B</t>
        </is>
      </c>
      <c r="E11" s="26" t="n">
        <v>7</v>
      </c>
      <c r="F11" s="26" t="n">
        <v>62.4</v>
      </c>
      <c r="G11" s="26">
        <f>E11-F11</f>
        <v/>
      </c>
      <c r="H11" s="27">
        <f>IF(F11=0,"",G11/F11)</f>
        <v/>
      </c>
      <c r="I11" t="inlineStr">
        <is>
          <t>TEST-INV-1010</t>
        </is>
      </c>
      <c r="J11" t="inlineStr">
        <is>
          <t>2026-09-11</t>
        </is>
      </c>
    </row>
    <row r="12">
      <c r="B12" t="inlineStr">
        <is>
          <t>Primer</t>
        </is>
      </c>
      <c r="C12" t="inlineStr">
        <is>
          <t>roll</t>
        </is>
      </c>
      <c r="D12" t="inlineStr">
        <is>
          <t>Test Supplier A</t>
        </is>
      </c>
      <c r="E12" s="26" t="n">
        <v>7</v>
      </c>
      <c r="F12" s="26" t="n">
        <v>32.45</v>
      </c>
      <c r="G12" s="26">
        <f>E12-F12</f>
        <v/>
      </c>
      <c r="H12" s="27">
        <f>IF(F12=0,"",G12/F12)</f>
        <v/>
      </c>
      <c r="I12" t="inlineStr">
        <is>
          <t>TEST-INV-1011</t>
        </is>
      </c>
      <c r="J12" t="inlineStr">
        <is>
          <t>2026-09-11</t>
        </is>
      </c>
    </row>
    <row r="13">
      <c r="B13" t="inlineStr">
        <is>
          <t>Downpipe white</t>
        </is>
      </c>
      <c r="C13" t="inlineStr">
        <is>
          <t>each</t>
        </is>
      </c>
      <c r="D13" t="inlineStr">
        <is>
          <t>Test Supplier C</t>
        </is>
      </c>
      <c r="E13" s="26" t="n">
        <v>7</v>
      </c>
      <c r="F13" s="26" t="n">
        <v>9.9</v>
      </c>
      <c r="G13" s="26">
        <f>E13-F13</f>
        <v/>
      </c>
      <c r="H13" s="27">
        <f>IF(F13=0,"",G13/F13)</f>
        <v/>
      </c>
      <c r="I13" t="inlineStr">
        <is>
          <t>TEST-INV-1012</t>
        </is>
      </c>
      <c r="J13" t="inlineStr">
        <is>
          <t>2026-09-11</t>
        </is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8" customWidth="1" min="4" max="4"/>
  </cols>
  <sheetData>
    <row r="1">
      <c r="A1" s="28" t="inlineStr">
        <is>
          <t>Supplier ID</t>
        </is>
      </c>
      <c r="B1" s="28" t="inlineStr">
        <is>
          <t>Supplier Name</t>
        </is>
      </c>
      <c r="C1" s="28" t="inlineStr">
        <is>
          <t>Contact</t>
        </is>
      </c>
      <c r="D1" s="28" t="inlineStr">
        <is>
          <t>Active</t>
        </is>
      </c>
    </row>
    <row r="2">
      <c r="A2" t="inlineStr">
        <is>
          <t>SUP-001</t>
        </is>
      </c>
      <c r="B2" t="inlineStr">
        <is>
          <t>Test Supplier A</t>
        </is>
      </c>
      <c r="C2" t="inlineStr">
        <is>
          <t>test@example.com</t>
        </is>
      </c>
      <c r="D2" t="inlineStr">
        <is>
          <t>Yes</t>
        </is>
      </c>
    </row>
    <row r="3">
      <c r="A3" t="inlineStr">
        <is>
          <t>SUP-002</t>
        </is>
      </c>
      <c r="B3" t="inlineStr">
        <is>
          <t>Test Supplier B</t>
        </is>
      </c>
      <c r="C3" t="inlineStr">
        <is>
          <t>test@example.com</t>
        </is>
      </c>
      <c r="D3" t="inlineStr">
        <is>
          <t>Yes</t>
        </is>
      </c>
    </row>
    <row r="4">
      <c r="A4" t="inlineStr">
        <is>
          <t>SUP-003</t>
        </is>
      </c>
      <c r="B4" t="inlineStr">
        <is>
          <t>Test Supplier C</t>
        </is>
      </c>
      <c r="C4" t="inlineStr">
        <is>
          <t>test@example.com</t>
        </is>
      </c>
      <c r="D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34" customWidth="1" min="4" max="4"/>
    <col width="19" customWidth="1" min="5" max="5"/>
    <col width="9" customWidth="1" min="6" max="6"/>
  </cols>
  <sheetData>
    <row r="1">
      <c r="A1" s="28" t="inlineStr">
        <is>
          <t>Invoice No.</t>
        </is>
      </c>
      <c r="B1" s="28" t="inlineStr">
        <is>
          <t>Supplier</t>
        </is>
      </c>
      <c r="C1" s="28" t="inlineStr">
        <is>
          <t>Invoice Date</t>
        </is>
      </c>
      <c r="D1" s="28" t="inlineStr">
        <is>
          <t>PDF File</t>
        </is>
      </c>
      <c r="E1" s="28" t="inlineStr">
        <is>
          <t>Invoice Total (€)</t>
        </is>
      </c>
      <c r="F1" s="28" t="inlineStr">
        <is>
          <t>Checked</t>
        </is>
      </c>
    </row>
    <row r="2">
      <c r="A2" t="inlineStr">
        <is>
          <t>TEST-INV-1001</t>
        </is>
      </c>
      <c r="B2" t="inlineStr">
        <is>
          <t>Test Supplier A</t>
        </is>
      </c>
      <c r="C2" t="inlineStr">
        <is>
          <t>2026-09-11</t>
        </is>
      </c>
      <c r="D2" t="inlineStr">
        <is>
          <t>Test_Invoice_Supplier_A_1001.pdf</t>
        </is>
      </c>
      <c r="E2" t="n">
        <v>2140</v>
      </c>
      <c r="F2" t="inlineStr">
        <is>
          <t>No</t>
        </is>
      </c>
    </row>
    <row r="3">
      <c r="A3" t="inlineStr">
        <is>
          <t>TEST-INV-1002</t>
        </is>
      </c>
      <c r="B3" t="inlineStr">
        <is>
          <t>Test Supplier B</t>
        </is>
      </c>
      <c r="C3" t="inlineStr">
        <is>
          <t>2026-09-11</t>
        </is>
      </c>
      <c r="D3" t="inlineStr">
        <is>
          <t>Test_Invoice_Supplier_B_1002.pdf</t>
        </is>
      </c>
      <c r="E3" t="n">
        <v>1585</v>
      </c>
      <c r="F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5" customWidth="1" min="3" max="3"/>
    <col width="10" customWidth="1" min="4" max="4"/>
    <col width="16" customWidth="1" min="5" max="5"/>
    <col width="7" customWidth="1" min="6" max="6"/>
    <col width="16" customWidth="1" min="7" max="7"/>
  </cols>
  <sheetData>
    <row r="1">
      <c r="A1" s="28" t="inlineStr">
        <is>
          <t>Invoice No.</t>
        </is>
      </c>
      <c r="B1" s="28" t="inlineStr">
        <is>
          <t>Material ID</t>
        </is>
      </c>
      <c r="C1" s="28" t="inlineStr">
        <is>
          <t>Material</t>
        </is>
      </c>
      <c r="D1" s="28" t="inlineStr">
        <is>
          <t>Quantity</t>
        </is>
      </c>
      <c r="E1" s="28" t="inlineStr">
        <is>
          <t>Unit Price (€)</t>
        </is>
      </c>
      <c r="F1" s="28" t="inlineStr">
        <is>
          <t>VAT %</t>
        </is>
      </c>
      <c r="G1" s="28" t="inlineStr">
        <is>
          <t>Line Total (€)</t>
        </is>
      </c>
    </row>
    <row r="2">
      <c r="A2" t="inlineStr">
        <is>
          <t>TEST-INV-1001</t>
        </is>
      </c>
      <c r="C2" t="inlineStr">
        <is>
          <t>Mortage bags(Glue)</t>
        </is>
      </c>
      <c r="D2" t="n">
        <v>20</v>
      </c>
      <c r="E2" t="n">
        <v>12.5</v>
      </c>
      <c r="F2" t="n">
        <v>23</v>
      </c>
      <c r="G2">
        <f>D2*E2</f>
        <v/>
      </c>
    </row>
    <row r="3">
      <c r="A3" t="inlineStr">
        <is>
          <t>TEST-INV-1001</t>
        </is>
      </c>
      <c r="C3" t="inlineStr">
        <is>
          <t>Soil bend 110mm x 90deg S/S black</t>
        </is>
      </c>
      <c r="D3" t="n">
        <v>30</v>
      </c>
      <c r="E3" t="n">
        <v>48</v>
      </c>
      <c r="F3" t="n">
        <v>23</v>
      </c>
      <c r="G3">
        <f>D3*E3</f>
        <v/>
      </c>
    </row>
    <row r="4">
      <c r="A4" t="inlineStr">
        <is>
          <t>TEST-INV-1001</t>
        </is>
      </c>
      <c r="B4" t="inlineStr">
        <is>
          <t>12236</t>
        </is>
      </c>
      <c r="C4" t="inlineStr">
        <is>
          <t>Board 20mm white</t>
        </is>
      </c>
      <c r="D4" t="n">
        <v>15</v>
      </c>
      <c r="E4" t="n">
        <v>72</v>
      </c>
      <c r="F4" t="n">
        <v>23</v>
      </c>
      <c r="G4">
        <f>D4*E4</f>
        <v/>
      </c>
    </row>
    <row r="5">
      <c r="A5" t="inlineStr">
        <is>
          <t>TEST-INV-1001</t>
        </is>
      </c>
      <c r="C5" t="inlineStr">
        <is>
          <t>Glue</t>
        </is>
      </c>
      <c r="D5" t="n">
        <v>40</v>
      </c>
      <c r="E5" t="n">
        <v>14</v>
      </c>
      <c r="F5" t="n">
        <v>23</v>
      </c>
      <c r="G5">
        <f>D5*E5</f>
        <v/>
      </c>
    </row>
    <row r="6">
      <c r="A6" t="inlineStr">
        <is>
          <t>TEST-INV-1001</t>
        </is>
      </c>
      <c r="B6" t="inlineStr">
        <is>
          <t>20921</t>
        </is>
      </c>
      <c r="C6" t="inlineStr">
        <is>
          <t>Window profile (2.4m)</t>
        </is>
      </c>
      <c r="D6" t="n">
        <v>10</v>
      </c>
      <c r="E6" t="n">
        <v>75</v>
      </c>
      <c r="F6" t="n">
        <v>23</v>
      </c>
      <c r="G6">
        <f>D6*E6</f>
        <v/>
      </c>
    </row>
    <row r="7">
      <c r="A7" t="inlineStr">
        <is>
          <t>TEST-INV-1001</t>
        </is>
      </c>
      <c r="B7" t="inlineStr">
        <is>
          <t>22593</t>
        </is>
      </c>
      <c r="C7" t="inlineStr">
        <is>
          <t>Starter track 100mm (2m)</t>
        </is>
      </c>
      <c r="D7" t="n">
        <v>25</v>
      </c>
      <c r="E7" t="n">
        <v>46.5</v>
      </c>
      <c r="F7" t="n">
        <v>23</v>
      </c>
      <c r="G7">
        <f>D7*E7</f>
        <v/>
      </c>
    </row>
    <row r="8">
      <c r="A8" t="inlineStr">
        <is>
          <t>TEST-INV-1002</t>
        </is>
      </c>
      <c r="C8" t="inlineStr">
        <is>
          <t>Downpipe brackets short brown</t>
        </is>
      </c>
      <c r="D8" t="n">
        <v>20</v>
      </c>
      <c r="E8" t="n">
        <v>9.800000000000001</v>
      </c>
      <c r="F8" t="n">
        <v>23</v>
      </c>
      <c r="G8">
        <f>D8*E8</f>
        <v/>
      </c>
    </row>
    <row r="9">
      <c r="A9" t="inlineStr">
        <is>
          <t>TEST-INV-1002</t>
        </is>
      </c>
      <c r="C9" t="inlineStr">
        <is>
          <t>Boby bag</t>
        </is>
      </c>
      <c r="D9" t="n">
        <v>30</v>
      </c>
      <c r="E9" t="n">
        <v>18.5</v>
      </c>
      <c r="F9" t="n">
        <v>23</v>
      </c>
      <c r="G9">
        <f>D9*E9</f>
        <v/>
      </c>
    </row>
    <row r="10">
      <c r="A10" t="inlineStr">
        <is>
          <t>TEST-INV-1002</t>
        </is>
      </c>
      <c r="C10" t="inlineStr">
        <is>
          <t>Gun foam fp404 pink</t>
        </is>
      </c>
      <c r="D10" t="n">
        <v>15</v>
      </c>
      <c r="E10" t="n">
        <v>22</v>
      </c>
      <c r="F10" t="n">
        <v>23</v>
      </c>
      <c r="G10">
        <f>D10*E10</f>
        <v/>
      </c>
    </row>
    <row r="11">
      <c r="A11" t="inlineStr">
        <is>
          <t>TEST-INV-1002</t>
        </is>
      </c>
      <c r="C11" t="inlineStr">
        <is>
          <t>Board 100mm</t>
        </is>
      </c>
      <c r="D11" t="n">
        <v>40</v>
      </c>
      <c r="E11" t="n">
        <v>65</v>
      </c>
      <c r="F11" t="n">
        <v>23</v>
      </c>
      <c r="G11">
        <f>D11*E11</f>
        <v/>
      </c>
    </row>
    <row r="12">
      <c r="A12" t="inlineStr">
        <is>
          <t>TEST-INV-1002</t>
        </is>
      </c>
      <c r="C12" t="inlineStr">
        <is>
          <t>Primer</t>
        </is>
      </c>
      <c r="D12" t="n">
        <v>10</v>
      </c>
      <c r="E12" t="n">
        <v>31.5</v>
      </c>
      <c r="F12" t="n">
        <v>23</v>
      </c>
      <c r="G12">
        <f>D12*E12</f>
        <v/>
      </c>
    </row>
    <row r="13">
      <c r="A13" t="inlineStr">
        <is>
          <t>TEST-INV-1002</t>
        </is>
      </c>
      <c r="C13" t="inlineStr">
        <is>
          <t>Downpipe white</t>
        </is>
      </c>
      <c r="D13" t="n">
        <v>25</v>
      </c>
      <c r="E13" t="n">
        <v>11.25</v>
      </c>
      <c r="F13" t="n">
        <v>23</v>
      </c>
      <c r="G13">
        <f>D13*E13</f>
        <v/>
      </c>
    </row>
    <row r="14">
      <c r="A14" t="inlineStr">
        <is>
          <t>TEST-INV-1001</t>
        </is>
      </c>
      <c r="C14" t="inlineStr">
        <is>
          <t>Mortage bags(Glue)</t>
        </is>
      </c>
      <c r="D14" t="n">
        <v>20</v>
      </c>
      <c r="E14" t="n">
        <v>12.5</v>
      </c>
      <c r="F14" t="n">
        <v>250</v>
      </c>
    </row>
    <row r="15">
      <c r="A15" t="inlineStr">
        <is>
          <t>TEST-INV-1001</t>
        </is>
      </c>
      <c r="C15" t="inlineStr">
        <is>
          <t>Soil bend 110mm x 90deg S/S black</t>
        </is>
      </c>
      <c r="D15" t="n">
        <v>20</v>
      </c>
      <c r="E15" t="n">
        <v>48</v>
      </c>
      <c r="F15" t="n">
        <v>960</v>
      </c>
    </row>
    <row r="16">
      <c r="A16" t="inlineStr">
        <is>
          <t>TEST-INV-1001</t>
        </is>
      </c>
      <c r="B16" t="inlineStr">
        <is>
          <t>12236</t>
        </is>
      </c>
      <c r="C16" t="inlineStr">
        <is>
          <t>Board 20mm white</t>
        </is>
      </c>
      <c r="D16" t="n">
        <v>20</v>
      </c>
      <c r="E16" t="n">
        <v>72</v>
      </c>
      <c r="F16" t="n">
        <v>1440</v>
      </c>
    </row>
    <row r="17">
      <c r="A17" t="inlineStr">
        <is>
          <t>TEST-INV-1001</t>
        </is>
      </c>
      <c r="C17" t="inlineStr">
        <is>
          <t>Glue</t>
        </is>
      </c>
      <c r="D17" t="n">
        <v>20</v>
      </c>
      <c r="E17" t="n">
        <v>14</v>
      </c>
      <c r="F17" t="n">
        <v>280</v>
      </c>
    </row>
    <row r="18">
      <c r="A18" t="inlineStr">
        <is>
          <t>TEST-INV-1001</t>
        </is>
      </c>
      <c r="B18" t="inlineStr">
        <is>
          <t>20921</t>
        </is>
      </c>
      <c r="C18" t="inlineStr">
        <is>
          <t>Window profile (2.4m)</t>
        </is>
      </c>
      <c r="D18" t="n">
        <v>20</v>
      </c>
      <c r="E18" t="n">
        <v>75</v>
      </c>
      <c r="F18" t="n">
        <v>1500</v>
      </c>
    </row>
    <row r="19">
      <c r="A19" t="inlineStr">
        <is>
          <t>TEST-INV-1001</t>
        </is>
      </c>
      <c r="B19" t="inlineStr">
        <is>
          <t>22593</t>
        </is>
      </c>
      <c r="C19" t="inlineStr">
        <is>
          <t>Starter track 100mm (2m)</t>
        </is>
      </c>
      <c r="D19" t="n">
        <v>20</v>
      </c>
      <c r="E19" t="n">
        <v>46.5</v>
      </c>
      <c r="F19" t="n">
        <v>930</v>
      </c>
    </row>
    <row r="20">
      <c r="A20" t="inlineStr">
        <is>
          <t>TEST-INV-1001</t>
        </is>
      </c>
      <c r="C20" t="inlineStr">
        <is>
          <t>Mortage bags(Glue)</t>
        </is>
      </c>
      <c r="D20" t="n">
        <v>20</v>
      </c>
      <c r="E20" t="n">
        <v>12.5</v>
      </c>
      <c r="F20" t="n">
        <v>250</v>
      </c>
    </row>
    <row r="21">
      <c r="A21" t="inlineStr">
        <is>
          <t>TEST-INV-1001</t>
        </is>
      </c>
      <c r="C21" t="inlineStr">
        <is>
          <t>Soil bend 110mm x 90deg S/S black</t>
        </is>
      </c>
      <c r="D21" t="n">
        <v>20</v>
      </c>
      <c r="E21" t="n">
        <v>48</v>
      </c>
      <c r="F21" t="n">
        <v>960</v>
      </c>
    </row>
    <row r="22">
      <c r="A22" t="inlineStr">
        <is>
          <t>TEST-INV-1001</t>
        </is>
      </c>
      <c r="B22" t="inlineStr">
        <is>
          <t>12236</t>
        </is>
      </c>
      <c r="C22" t="inlineStr">
        <is>
          <t>Board 20mm white</t>
        </is>
      </c>
      <c r="D22" t="n">
        <v>20</v>
      </c>
      <c r="E22" t="n">
        <v>72</v>
      </c>
      <c r="F22" t="n">
        <v>1440</v>
      </c>
    </row>
    <row r="23">
      <c r="A23" t="inlineStr">
        <is>
          <t>TEST-INV-1001</t>
        </is>
      </c>
      <c r="C23" t="inlineStr">
        <is>
          <t>Glue</t>
        </is>
      </c>
      <c r="D23" t="n">
        <v>20</v>
      </c>
      <c r="E23" t="n">
        <v>14</v>
      </c>
      <c r="F23" t="n">
        <v>280</v>
      </c>
    </row>
    <row r="24">
      <c r="A24" t="inlineStr">
        <is>
          <t>TEST-INV-1001</t>
        </is>
      </c>
      <c r="B24" t="inlineStr">
        <is>
          <t>20921</t>
        </is>
      </c>
      <c r="C24" t="inlineStr">
        <is>
          <t>Window profile (2.4m)</t>
        </is>
      </c>
      <c r="D24" t="n">
        <v>20</v>
      </c>
      <c r="E24" t="n">
        <v>75</v>
      </c>
      <c r="F24" t="n">
        <v>1500</v>
      </c>
    </row>
    <row r="25">
      <c r="A25" t="inlineStr">
        <is>
          <t>TEST-INV-1001</t>
        </is>
      </c>
      <c r="B25" t="inlineStr">
        <is>
          <t>22593</t>
        </is>
      </c>
      <c r="C25" t="inlineStr">
        <is>
          <t>Starter track 100mm (2m)</t>
        </is>
      </c>
      <c r="D25" t="n">
        <v>20</v>
      </c>
      <c r="E25" t="n">
        <v>46.5</v>
      </c>
      <c r="F25" t="n">
        <v>930</v>
      </c>
    </row>
    <row r="26">
      <c r="A26" t="inlineStr">
        <is>
          <t>TEST-INV-1001</t>
        </is>
      </c>
      <c r="C26" t="inlineStr">
        <is>
          <t>Mortage bags(Glue)</t>
        </is>
      </c>
      <c r="D26" t="n">
        <v>20</v>
      </c>
      <c r="E26" t="n">
        <v>12.5</v>
      </c>
      <c r="F26" t="n">
        <v>250</v>
      </c>
    </row>
    <row r="27">
      <c r="A27" t="inlineStr">
        <is>
          <t>TEST-INV-1001</t>
        </is>
      </c>
      <c r="C27" t="inlineStr">
        <is>
          <t>Soil bend 110mm x 90deg S/S black</t>
        </is>
      </c>
      <c r="D27" t="n">
        <v>20</v>
      </c>
      <c r="E27" t="n">
        <v>48</v>
      </c>
      <c r="F27" t="n">
        <v>960</v>
      </c>
    </row>
    <row r="28">
      <c r="A28" t="inlineStr">
        <is>
          <t>TEST-INV-1001</t>
        </is>
      </c>
      <c r="B28" t="inlineStr">
        <is>
          <t>12236</t>
        </is>
      </c>
      <c r="C28" t="inlineStr">
        <is>
          <t>Board 20mm white</t>
        </is>
      </c>
      <c r="D28" t="n">
        <v>20</v>
      </c>
      <c r="E28" t="n">
        <v>72</v>
      </c>
      <c r="F28" t="n">
        <v>1440</v>
      </c>
    </row>
    <row r="29">
      <c r="A29" t="inlineStr">
        <is>
          <t>TEST-INV-1001</t>
        </is>
      </c>
      <c r="C29" t="inlineStr">
        <is>
          <t>Glue</t>
        </is>
      </c>
      <c r="D29" t="n">
        <v>20</v>
      </c>
      <c r="E29" t="n">
        <v>14</v>
      </c>
      <c r="F29" t="n">
        <v>280</v>
      </c>
    </row>
    <row r="30">
      <c r="A30" t="inlineStr">
        <is>
          <t>TEST-INV-1001</t>
        </is>
      </c>
      <c r="B30" t="inlineStr">
        <is>
          <t>20921</t>
        </is>
      </c>
      <c r="C30" t="inlineStr">
        <is>
          <t>Window profile (2.4m)</t>
        </is>
      </c>
      <c r="D30" t="n">
        <v>20</v>
      </c>
      <c r="E30" t="n">
        <v>75</v>
      </c>
      <c r="F30" t="n">
        <v>1500</v>
      </c>
    </row>
    <row r="31">
      <c r="A31" t="inlineStr">
        <is>
          <t>TEST-INV-1001</t>
        </is>
      </c>
      <c r="B31" t="inlineStr">
        <is>
          <t>22593</t>
        </is>
      </c>
      <c r="C31" t="inlineStr">
        <is>
          <t>Starter track 100mm (2m)</t>
        </is>
      </c>
      <c r="D31" t="n">
        <v>20</v>
      </c>
      <c r="E31" t="n">
        <v>46.5</v>
      </c>
      <c r="F31" t="n">
        <v>930</v>
      </c>
    </row>
    <row r="32">
      <c r="A32" t="inlineStr">
        <is>
          <t>TEST-INV-1001</t>
        </is>
      </c>
      <c r="C32" t="inlineStr">
        <is>
          <t>Mortage bags(Glue)</t>
        </is>
      </c>
      <c r="D32" t="n">
        <v>20</v>
      </c>
      <c r="E32" t="n">
        <v>12.5</v>
      </c>
      <c r="F32" t="n">
        <v>250</v>
      </c>
    </row>
    <row r="33">
      <c r="A33" t="inlineStr">
        <is>
          <t>TEST-INV-1001</t>
        </is>
      </c>
      <c r="C33" t="inlineStr">
        <is>
          <t>Soil bend 110mm x 90deg S/S black</t>
        </is>
      </c>
      <c r="D33" t="n">
        <v>20</v>
      </c>
      <c r="E33" t="n">
        <v>48</v>
      </c>
      <c r="F33" t="n">
        <v>960</v>
      </c>
    </row>
    <row r="34">
      <c r="A34" t="inlineStr">
        <is>
          <t>TEST-INV-1001</t>
        </is>
      </c>
      <c r="B34" t="inlineStr">
        <is>
          <t>12236</t>
        </is>
      </c>
      <c r="C34" t="inlineStr">
        <is>
          <t>Board 20mm white</t>
        </is>
      </c>
      <c r="D34" t="n">
        <v>20</v>
      </c>
      <c r="E34" t="n">
        <v>72</v>
      </c>
      <c r="F34" t="n">
        <v>1440</v>
      </c>
    </row>
    <row r="35">
      <c r="A35" t="inlineStr">
        <is>
          <t>TEST-INV-1001</t>
        </is>
      </c>
      <c r="C35" t="inlineStr">
        <is>
          <t>Glue</t>
        </is>
      </c>
      <c r="D35" t="n">
        <v>20</v>
      </c>
      <c r="E35" t="n">
        <v>14</v>
      </c>
      <c r="F35" t="n">
        <v>280</v>
      </c>
    </row>
    <row r="36">
      <c r="A36" t="inlineStr">
        <is>
          <t>TEST-INV-1001</t>
        </is>
      </c>
      <c r="B36" t="inlineStr">
        <is>
          <t>20921</t>
        </is>
      </c>
      <c r="C36" t="inlineStr">
        <is>
          <t>Window profile (2.4m)</t>
        </is>
      </c>
      <c r="D36" t="n">
        <v>20</v>
      </c>
      <c r="E36" t="n">
        <v>75</v>
      </c>
      <c r="F36" t="n">
        <v>1500</v>
      </c>
    </row>
    <row r="37">
      <c r="A37" t="inlineStr">
        <is>
          <t>TEST-INV-1001</t>
        </is>
      </c>
      <c r="B37" t="inlineStr">
        <is>
          <t>22593</t>
        </is>
      </c>
      <c r="C37" t="inlineStr">
        <is>
          <t>Starter track 100mm (2m)</t>
        </is>
      </c>
      <c r="D37" t="n">
        <v>20</v>
      </c>
      <c r="E37" t="n">
        <v>46.5</v>
      </c>
      <c r="F37" t="n">
        <v>930</v>
      </c>
    </row>
    <row r="38">
      <c r="A38" t="inlineStr">
        <is>
          <t>TEST-INV-1001</t>
        </is>
      </c>
      <c r="C38" t="inlineStr">
        <is>
          <t>Mortage bags(Glue)</t>
        </is>
      </c>
      <c r="D38" t="n">
        <v>20</v>
      </c>
      <c r="E38" t="n">
        <v>12.5</v>
      </c>
      <c r="F38" t="n">
        <v>250</v>
      </c>
    </row>
    <row r="39">
      <c r="A39" t="inlineStr">
        <is>
          <t>TEST-INV-1001</t>
        </is>
      </c>
      <c r="C39" t="inlineStr">
        <is>
          <t>Soil bend 110mm x 90deg S/S black</t>
        </is>
      </c>
      <c r="D39" t="n">
        <v>20</v>
      </c>
      <c r="E39" t="n">
        <v>48</v>
      </c>
      <c r="F39" t="n">
        <v>960</v>
      </c>
    </row>
    <row r="40">
      <c r="A40" t="inlineStr">
        <is>
          <t>TEST-INV-1001</t>
        </is>
      </c>
      <c r="B40" t="inlineStr">
        <is>
          <t>12236</t>
        </is>
      </c>
      <c r="C40" t="inlineStr">
        <is>
          <t>Board 20mm white</t>
        </is>
      </c>
      <c r="D40" t="n">
        <v>20</v>
      </c>
      <c r="E40" t="n">
        <v>72</v>
      </c>
      <c r="F40" t="n">
        <v>1440</v>
      </c>
    </row>
    <row r="41">
      <c r="A41" t="inlineStr">
        <is>
          <t>TEST-INV-1001</t>
        </is>
      </c>
      <c r="C41" t="inlineStr">
        <is>
          <t>Glue</t>
        </is>
      </c>
      <c r="D41" t="n">
        <v>20</v>
      </c>
      <c r="E41" t="n">
        <v>14</v>
      </c>
      <c r="F41" t="n">
        <v>280</v>
      </c>
    </row>
    <row r="42">
      <c r="A42" t="inlineStr">
        <is>
          <t>TEST-INV-1001</t>
        </is>
      </c>
      <c r="B42" t="inlineStr">
        <is>
          <t>20921</t>
        </is>
      </c>
      <c r="C42" t="inlineStr">
        <is>
          <t>Window profile (2.4m)</t>
        </is>
      </c>
      <c r="D42" t="n">
        <v>20</v>
      </c>
      <c r="E42" t="n">
        <v>75</v>
      </c>
      <c r="F42" t="n">
        <v>1500</v>
      </c>
    </row>
    <row r="43">
      <c r="A43" t="inlineStr">
        <is>
          <t>TEST-INV-1001</t>
        </is>
      </c>
      <c r="B43" t="inlineStr">
        <is>
          <t>22593</t>
        </is>
      </c>
      <c r="C43" t="inlineStr">
        <is>
          <t>Starter track 100mm (2m)</t>
        </is>
      </c>
      <c r="D43" t="n">
        <v>20</v>
      </c>
      <c r="E43" t="n">
        <v>46.5</v>
      </c>
      <c r="F43" t="n">
        <v>930</v>
      </c>
    </row>
    <row r="44">
      <c r="A44" t="inlineStr">
        <is>
          <t>TEST-INV-1001</t>
        </is>
      </c>
      <c r="C44" t="inlineStr">
        <is>
          <t>Mortage bags(Glue)</t>
        </is>
      </c>
      <c r="D44" t="n">
        <v>20</v>
      </c>
      <c r="E44" t="n">
        <v>12.5</v>
      </c>
      <c r="F44" t="n">
        <v>250</v>
      </c>
    </row>
    <row r="45">
      <c r="A45" t="inlineStr">
        <is>
          <t>TEST-INV-1001</t>
        </is>
      </c>
      <c r="C45" t="inlineStr">
        <is>
          <t>Soil bend 110mm x 90deg S/S black</t>
        </is>
      </c>
      <c r="D45" t="n">
        <v>20</v>
      </c>
      <c r="E45" t="n">
        <v>48</v>
      </c>
      <c r="F45" t="n">
        <v>960</v>
      </c>
    </row>
    <row r="46">
      <c r="A46" t="inlineStr">
        <is>
          <t>TEST-INV-1001</t>
        </is>
      </c>
      <c r="B46" t="inlineStr">
        <is>
          <t>12236</t>
        </is>
      </c>
      <c r="C46" t="inlineStr">
        <is>
          <t>Board 20mm white</t>
        </is>
      </c>
      <c r="D46" t="n">
        <v>20</v>
      </c>
      <c r="E46" t="n">
        <v>72</v>
      </c>
      <c r="F46" t="n">
        <v>1440</v>
      </c>
    </row>
    <row r="47">
      <c r="A47" t="inlineStr">
        <is>
          <t>TEST-INV-1001</t>
        </is>
      </c>
      <c r="C47" t="inlineStr">
        <is>
          <t>Glue</t>
        </is>
      </c>
      <c r="D47" t="n">
        <v>20</v>
      </c>
      <c r="E47" t="n">
        <v>14</v>
      </c>
      <c r="F47" t="n">
        <v>280</v>
      </c>
    </row>
    <row r="48">
      <c r="A48" t="inlineStr">
        <is>
          <t>TEST-INV-1001</t>
        </is>
      </c>
      <c r="B48" t="inlineStr">
        <is>
          <t>20921</t>
        </is>
      </c>
      <c r="C48" t="inlineStr">
        <is>
          <t>Window profile (2.4m)</t>
        </is>
      </c>
      <c r="D48" t="n">
        <v>20</v>
      </c>
      <c r="E48" t="n">
        <v>75</v>
      </c>
      <c r="F48" t="n">
        <v>1500</v>
      </c>
    </row>
    <row r="49">
      <c r="A49" t="inlineStr">
        <is>
          <t>TEST-INV-1001</t>
        </is>
      </c>
      <c r="B49" t="inlineStr">
        <is>
          <t>22593</t>
        </is>
      </c>
      <c r="C49" t="inlineStr">
        <is>
          <t>Starter track 100mm (2m)</t>
        </is>
      </c>
      <c r="D49" t="n">
        <v>20</v>
      </c>
      <c r="E49" t="n">
        <v>46.5</v>
      </c>
      <c r="F49" t="n">
        <v>930</v>
      </c>
    </row>
    <row r="50">
      <c r="A50" t="inlineStr">
        <is>
          <t>TEST-INV-1001</t>
        </is>
      </c>
      <c r="C50" t="inlineStr">
        <is>
          <t>Mortage bags(Glue)</t>
        </is>
      </c>
      <c r="D50" t="n">
        <v>20</v>
      </c>
      <c r="E50" t="n">
        <v>12.5</v>
      </c>
      <c r="F50" t="n">
        <v>250</v>
      </c>
    </row>
    <row r="51">
      <c r="A51" t="inlineStr">
        <is>
          <t>TEST-INV-1001</t>
        </is>
      </c>
      <c r="C51" t="inlineStr">
        <is>
          <t>Soil bend 110mm x 90deg S/S black</t>
        </is>
      </c>
      <c r="D51" t="n">
        <v>20</v>
      </c>
      <c r="E51" t="n">
        <v>48</v>
      </c>
      <c r="F51" t="n">
        <v>960</v>
      </c>
    </row>
    <row r="52">
      <c r="A52" t="inlineStr">
        <is>
          <t>TEST-INV-1001</t>
        </is>
      </c>
      <c r="B52" t="inlineStr">
        <is>
          <t>12236</t>
        </is>
      </c>
      <c r="C52" t="inlineStr">
        <is>
          <t>Board 20mm white</t>
        </is>
      </c>
      <c r="D52" t="n">
        <v>20</v>
      </c>
      <c r="E52" t="n">
        <v>72</v>
      </c>
      <c r="F52" t="n">
        <v>1440</v>
      </c>
    </row>
    <row r="53">
      <c r="A53" t="inlineStr">
        <is>
          <t>TEST-INV-1001</t>
        </is>
      </c>
      <c r="C53" t="inlineStr">
        <is>
          <t>Glue</t>
        </is>
      </c>
      <c r="D53" t="n">
        <v>20</v>
      </c>
      <c r="E53" t="n">
        <v>14</v>
      </c>
      <c r="F53" t="n">
        <v>280</v>
      </c>
    </row>
    <row r="54">
      <c r="A54" t="inlineStr">
        <is>
          <t>TEST-INV-1001</t>
        </is>
      </c>
      <c r="B54" t="inlineStr">
        <is>
          <t>20921</t>
        </is>
      </c>
      <c r="C54" t="inlineStr">
        <is>
          <t>Window profile (2.4m)</t>
        </is>
      </c>
      <c r="D54" t="n">
        <v>20</v>
      </c>
      <c r="E54" t="n">
        <v>75</v>
      </c>
      <c r="F54" t="n">
        <v>1500</v>
      </c>
    </row>
    <row r="55">
      <c r="A55" t="inlineStr">
        <is>
          <t>TEST-INV-1001</t>
        </is>
      </c>
      <c r="B55" t="inlineStr">
        <is>
          <t>22593</t>
        </is>
      </c>
      <c r="C55" t="inlineStr">
        <is>
          <t>Starter track 100mm (2m)</t>
        </is>
      </c>
      <c r="D55" t="n">
        <v>20</v>
      </c>
      <c r="E55" t="n">
        <v>46.5</v>
      </c>
      <c r="F55" t="n">
        <v>930</v>
      </c>
    </row>
    <row r="56">
      <c r="A56" t="inlineStr">
        <is>
          <t>TEST-INV-1001</t>
        </is>
      </c>
      <c r="B56" t="inlineStr"/>
      <c r="C56" t="inlineStr">
        <is>
          <t>Mortage bags(Glue)</t>
        </is>
      </c>
      <c r="D56" t="n">
        <v>20</v>
      </c>
      <c r="E56" t="n">
        <v>12.5</v>
      </c>
      <c r="F56" t="n">
        <v>250</v>
      </c>
    </row>
    <row r="57">
      <c r="A57" t="inlineStr">
        <is>
          <t>TEST-INV-1001</t>
        </is>
      </c>
      <c r="B57" t="inlineStr"/>
      <c r="C57" t="inlineStr">
        <is>
          <t>Soil bend 110mm x 90deg S/S black</t>
        </is>
      </c>
      <c r="D57" t="n">
        <v>20</v>
      </c>
      <c r="E57" t="n">
        <v>48</v>
      </c>
      <c r="F57" t="n">
        <v>960</v>
      </c>
    </row>
    <row r="58">
      <c r="A58" t="inlineStr">
        <is>
          <t>TEST-INV-1001</t>
        </is>
      </c>
      <c r="B58" t="inlineStr">
        <is>
          <t>12236</t>
        </is>
      </c>
      <c r="C58" t="inlineStr">
        <is>
          <t>Board 20mm white</t>
        </is>
      </c>
      <c r="D58" t="n">
        <v>20</v>
      </c>
      <c r="E58" t="n">
        <v>72</v>
      </c>
      <c r="F58" t="n">
        <v>1440</v>
      </c>
    </row>
    <row r="59">
      <c r="A59" t="inlineStr">
        <is>
          <t>TEST-INV-1001</t>
        </is>
      </c>
      <c r="B59" t="inlineStr"/>
      <c r="C59" t="inlineStr">
        <is>
          <t>Glue</t>
        </is>
      </c>
      <c r="D59" t="n">
        <v>20</v>
      </c>
      <c r="E59" t="n">
        <v>14</v>
      </c>
      <c r="F59" t="n">
        <v>280</v>
      </c>
    </row>
    <row r="60">
      <c r="A60" t="inlineStr">
        <is>
          <t>TEST-INV-1001</t>
        </is>
      </c>
      <c r="B60" t="inlineStr">
        <is>
          <t>20921</t>
        </is>
      </c>
      <c r="C60" t="inlineStr">
        <is>
          <t>Window profile (2.4m)</t>
        </is>
      </c>
      <c r="D60" t="n">
        <v>20</v>
      </c>
      <c r="E60" t="n">
        <v>75</v>
      </c>
      <c r="F60" t="n">
        <v>1500</v>
      </c>
    </row>
    <row r="61">
      <c r="A61" t="inlineStr">
        <is>
          <t>TEST-INV-1001</t>
        </is>
      </c>
      <c r="B61" t="inlineStr">
        <is>
          <t>22593</t>
        </is>
      </c>
      <c r="C61" t="inlineStr">
        <is>
          <t>Starter track 100mm (2m)</t>
        </is>
      </c>
      <c r="D61" t="n">
        <v>20</v>
      </c>
      <c r="E61" t="n">
        <v>46.5</v>
      </c>
      <c r="F61" t="n">
        <v>930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5" customWidth="1" min="3" max="3"/>
    <col width="17" customWidth="1" min="4" max="4"/>
    <col width="11" customWidth="1" min="5" max="5"/>
    <col width="15" customWidth="1" min="6" max="6"/>
  </cols>
  <sheetData>
    <row r="1">
      <c r="A1" s="28" t="inlineStr">
        <is>
          <t>Date</t>
        </is>
      </c>
      <c r="B1" s="28" t="inlineStr">
        <is>
          <t>Material ID</t>
        </is>
      </c>
      <c r="C1" s="28" t="inlineStr">
        <is>
          <t>Material</t>
        </is>
      </c>
      <c r="D1" s="28" t="inlineStr">
        <is>
          <t>Supplier</t>
        </is>
      </c>
      <c r="E1" s="28" t="inlineStr">
        <is>
          <t>Price (€)</t>
        </is>
      </c>
      <c r="F1" s="28" t="inlineStr">
        <is>
          <t>Invoice No.</t>
        </is>
      </c>
    </row>
    <row r="2">
      <c r="A2" t="inlineStr">
        <is>
          <t>2026-08-15</t>
        </is>
      </c>
      <c r="C2" t="inlineStr">
        <is>
          <t>Mortage bags(Glue)</t>
        </is>
      </c>
      <c r="D2" t="inlineStr">
        <is>
          <t>Test Supplier A</t>
        </is>
      </c>
      <c r="E2" t="n">
        <v>11.5</v>
      </c>
      <c r="F2" t="inlineStr">
        <is>
          <t>TEST-OLD-901</t>
        </is>
      </c>
    </row>
    <row r="3">
      <c r="A3" t="inlineStr">
        <is>
          <t>2026-09-11</t>
        </is>
      </c>
      <c r="C3" t="inlineStr">
        <is>
          <t>Mortage bags(Glue)</t>
        </is>
      </c>
      <c r="D3" t="inlineStr">
        <is>
          <t>Test Supplier A</t>
        </is>
      </c>
      <c r="E3" t="n">
        <v>12.5</v>
      </c>
      <c r="F3" t="inlineStr">
        <is>
          <t>TEST-INV-1001</t>
        </is>
      </c>
    </row>
    <row r="4">
      <c r="A4" t="inlineStr">
        <is>
          <t>2026-08-15</t>
        </is>
      </c>
      <c r="C4" t="inlineStr">
        <is>
          <t>Soil bend 110mm x 90deg S/S black</t>
        </is>
      </c>
      <c r="D4" t="inlineStr">
        <is>
          <t>Test Supplier B</t>
        </is>
      </c>
      <c r="E4" t="n">
        <v>46.08</v>
      </c>
      <c r="F4" t="inlineStr">
        <is>
          <t>TEST-OLD-902</t>
        </is>
      </c>
    </row>
    <row r="5">
      <c r="A5" t="inlineStr">
        <is>
          <t>2026-09-11</t>
        </is>
      </c>
      <c r="C5" t="inlineStr">
        <is>
          <t>Soil bend 110mm x 90deg S/S black</t>
        </is>
      </c>
      <c r="D5" t="inlineStr">
        <is>
          <t>Test Supplier B</t>
        </is>
      </c>
      <c r="E5" t="n">
        <v>48</v>
      </c>
      <c r="F5" t="inlineStr">
        <is>
          <t>TEST-INV-1001</t>
        </is>
      </c>
    </row>
    <row r="6">
      <c r="A6" t="inlineStr">
        <is>
          <t>2026-08-15</t>
        </is>
      </c>
      <c r="B6" t="inlineStr">
        <is>
          <t>12236</t>
        </is>
      </c>
      <c r="C6" t="inlineStr">
        <is>
          <t>Board 20mm white</t>
        </is>
      </c>
      <c r="D6" t="inlineStr">
        <is>
          <t>Test Supplier A</t>
        </is>
      </c>
      <c r="E6" t="n">
        <v>74.16</v>
      </c>
      <c r="F6" t="inlineStr">
        <is>
          <t>TEST-OLD-903</t>
        </is>
      </c>
    </row>
    <row r="7">
      <c r="A7" t="inlineStr">
        <is>
          <t>2026-09-11</t>
        </is>
      </c>
      <c r="B7" t="inlineStr">
        <is>
          <t>12236</t>
        </is>
      </c>
      <c r="C7" t="inlineStr">
        <is>
          <t>Board 20mm white</t>
        </is>
      </c>
      <c r="D7" t="inlineStr">
        <is>
          <t>Test Supplier A</t>
        </is>
      </c>
      <c r="E7" t="n">
        <v>72</v>
      </c>
      <c r="F7" t="inlineStr">
        <is>
          <t>TEST-INV-1001</t>
        </is>
      </c>
    </row>
    <row r="8">
      <c r="A8" t="inlineStr">
        <is>
          <t>2026-08-15</t>
        </is>
      </c>
      <c r="C8" t="inlineStr">
        <is>
          <t>Glue</t>
        </is>
      </c>
      <c r="D8" t="inlineStr">
        <is>
          <t>Test Supplier C</t>
        </is>
      </c>
      <c r="E8" t="n">
        <v>12.32</v>
      </c>
      <c r="F8" t="inlineStr">
        <is>
          <t>TEST-OLD-904</t>
        </is>
      </c>
    </row>
    <row r="9">
      <c r="A9" t="inlineStr">
        <is>
          <t>2026-09-11</t>
        </is>
      </c>
      <c r="C9" t="inlineStr">
        <is>
          <t>Glue</t>
        </is>
      </c>
      <c r="D9" t="inlineStr">
        <is>
          <t>Test Supplier C</t>
        </is>
      </c>
      <c r="E9" t="n">
        <v>14</v>
      </c>
      <c r="F9" t="inlineStr">
        <is>
          <t>TEST-INV-1001</t>
        </is>
      </c>
    </row>
    <row r="10">
      <c r="A10" t="inlineStr">
        <is>
          <t>2026-08-15</t>
        </is>
      </c>
      <c r="B10" t="inlineStr">
        <is>
          <t>20921</t>
        </is>
      </c>
      <c r="C10" t="inlineStr">
        <is>
          <t>Window profile (2.4m)</t>
        </is>
      </c>
      <c r="D10" t="inlineStr">
        <is>
          <t>Test Supplier A</t>
        </is>
      </c>
      <c r="E10" t="n">
        <v>69</v>
      </c>
      <c r="F10" t="inlineStr">
        <is>
          <t>TEST-OLD-905</t>
        </is>
      </c>
    </row>
    <row r="11">
      <c r="A11" t="inlineStr">
        <is>
          <t>2026-09-11</t>
        </is>
      </c>
      <c r="B11" t="inlineStr">
        <is>
          <t>20921</t>
        </is>
      </c>
      <c r="C11" t="inlineStr">
        <is>
          <t>Window profile (2.4m)</t>
        </is>
      </c>
      <c r="D11" t="inlineStr">
        <is>
          <t>Test Supplier A</t>
        </is>
      </c>
      <c r="E11" t="n">
        <v>75</v>
      </c>
      <c r="F11" t="inlineStr">
        <is>
          <t>TEST-INV-1001</t>
        </is>
      </c>
    </row>
    <row r="12">
      <c r="A12" t="inlineStr">
        <is>
          <t>2026-08-15</t>
        </is>
      </c>
      <c r="B12" t="inlineStr">
        <is>
          <t>22593</t>
        </is>
      </c>
      <c r="C12" t="inlineStr">
        <is>
          <t>Starter track 100mm (2m)</t>
        </is>
      </c>
      <c r="D12" t="inlineStr">
        <is>
          <t>Test Supplier B</t>
        </is>
      </c>
      <c r="E12" t="n">
        <v>44.64</v>
      </c>
      <c r="F12" t="inlineStr">
        <is>
          <t>TEST-OLD-906</t>
        </is>
      </c>
    </row>
    <row r="13">
      <c r="A13" t="inlineStr">
        <is>
          <t>2026-09-11</t>
        </is>
      </c>
      <c r="B13" t="inlineStr">
        <is>
          <t>22593</t>
        </is>
      </c>
      <c r="C13" t="inlineStr">
        <is>
          <t>Starter track 100mm (2m)</t>
        </is>
      </c>
      <c r="D13" t="inlineStr">
        <is>
          <t>Test Supplier B</t>
        </is>
      </c>
      <c r="E13" t="n">
        <v>46.5</v>
      </c>
      <c r="F13" t="inlineStr">
        <is>
          <t>TEST-INV-1001</t>
        </is>
      </c>
    </row>
    <row r="14">
      <c r="A14" t="inlineStr">
        <is>
          <t>2026-08-15</t>
        </is>
      </c>
      <c r="C14" t="inlineStr">
        <is>
          <t>Downpipe brackets short brown</t>
        </is>
      </c>
      <c r="D14" t="inlineStr">
        <is>
          <t>Test Supplier A</t>
        </is>
      </c>
      <c r="E14" t="n">
        <v>10.09</v>
      </c>
      <c r="F14" t="inlineStr">
        <is>
          <t>TEST-OLD-907</t>
        </is>
      </c>
    </row>
    <row r="15">
      <c r="A15" t="inlineStr">
        <is>
          <t>2026-09-11</t>
        </is>
      </c>
      <c r="C15" t="inlineStr">
        <is>
          <t>Downpipe brackets short brown</t>
        </is>
      </c>
      <c r="D15" t="inlineStr">
        <is>
          <t>Test Supplier A</t>
        </is>
      </c>
      <c r="E15" t="n">
        <v>9.800000000000001</v>
      </c>
      <c r="F15" t="inlineStr">
        <is>
          <t>TEST-INV-1002</t>
        </is>
      </c>
    </row>
    <row r="16">
      <c r="A16" t="inlineStr">
        <is>
          <t>2026-08-15</t>
        </is>
      </c>
      <c r="C16" t="inlineStr">
        <is>
          <t>Boby bag</t>
        </is>
      </c>
      <c r="D16" t="inlineStr">
        <is>
          <t>Test Supplier C</t>
        </is>
      </c>
      <c r="E16" t="n">
        <v>16.28</v>
      </c>
      <c r="F16" t="inlineStr">
        <is>
          <t>TEST-OLD-908</t>
        </is>
      </c>
    </row>
    <row r="17">
      <c r="A17" t="inlineStr">
        <is>
          <t>2026-09-11</t>
        </is>
      </c>
      <c r="C17" t="inlineStr">
        <is>
          <t>Boby bag</t>
        </is>
      </c>
      <c r="D17" t="inlineStr">
        <is>
          <t>Test Supplier C</t>
        </is>
      </c>
      <c r="E17" t="n">
        <v>18.5</v>
      </c>
      <c r="F17" t="inlineStr">
        <is>
          <t>TEST-INV-1002</t>
        </is>
      </c>
    </row>
    <row r="18">
      <c r="A18" t="inlineStr">
        <is>
          <t>2026-08-15</t>
        </is>
      </c>
      <c r="C18" t="inlineStr">
        <is>
          <t>Gun foam fp404 pink</t>
        </is>
      </c>
      <c r="D18" t="inlineStr">
        <is>
          <t>Test Supplier A</t>
        </is>
      </c>
      <c r="E18" t="n">
        <v>20.24</v>
      </c>
      <c r="F18" t="inlineStr">
        <is>
          <t>TEST-OLD-909</t>
        </is>
      </c>
    </row>
    <row r="19">
      <c r="A19" t="inlineStr">
        <is>
          <t>2026-09-11</t>
        </is>
      </c>
      <c r="C19" t="inlineStr">
        <is>
          <t>Gun foam fp404 pink</t>
        </is>
      </c>
      <c r="D19" t="inlineStr">
        <is>
          <t>Test Supplier A</t>
        </is>
      </c>
      <c r="E19" t="n">
        <v>22</v>
      </c>
      <c r="F19" t="inlineStr">
        <is>
          <t>TEST-INV-1002</t>
        </is>
      </c>
    </row>
    <row r="20">
      <c r="A20" t="inlineStr">
        <is>
          <t>2026-08-15</t>
        </is>
      </c>
      <c r="C20" t="inlineStr">
        <is>
          <t>Board 100mm</t>
        </is>
      </c>
      <c r="D20" t="inlineStr">
        <is>
          <t>Test Supplier B</t>
        </is>
      </c>
      <c r="E20" t="n">
        <v>62.4</v>
      </c>
      <c r="F20" t="inlineStr">
        <is>
          <t>TEST-OLD-910</t>
        </is>
      </c>
    </row>
    <row r="21">
      <c r="A21" t="inlineStr">
        <is>
          <t>2026-09-11</t>
        </is>
      </c>
      <c r="C21" t="inlineStr">
        <is>
          <t>Board 100mm</t>
        </is>
      </c>
      <c r="D21" t="inlineStr">
        <is>
          <t>Test Supplier B</t>
        </is>
      </c>
      <c r="E21" t="n">
        <v>65</v>
      </c>
      <c r="F21" t="inlineStr">
        <is>
          <t>TEST-INV-1002</t>
        </is>
      </c>
    </row>
    <row r="22">
      <c r="A22" t="inlineStr">
        <is>
          <t>2026-08-15</t>
        </is>
      </c>
      <c r="C22" t="inlineStr">
        <is>
          <t>Primer</t>
        </is>
      </c>
      <c r="D22" t="inlineStr">
        <is>
          <t>Test Supplier A</t>
        </is>
      </c>
      <c r="E22" t="n">
        <v>32.45</v>
      </c>
      <c r="F22" t="inlineStr">
        <is>
          <t>TEST-OLD-911</t>
        </is>
      </c>
    </row>
    <row r="23">
      <c r="A23" t="inlineStr">
        <is>
          <t>2026-09-11</t>
        </is>
      </c>
      <c r="C23" t="inlineStr">
        <is>
          <t>Primer</t>
        </is>
      </c>
      <c r="D23" t="inlineStr">
        <is>
          <t>Test Supplier A</t>
        </is>
      </c>
      <c r="E23" t="n">
        <v>31.5</v>
      </c>
      <c r="F23" t="inlineStr">
        <is>
          <t>TEST-INV-1002</t>
        </is>
      </c>
    </row>
    <row r="24">
      <c r="A24" t="inlineStr">
        <is>
          <t>2026-08-15</t>
        </is>
      </c>
      <c r="C24" t="inlineStr">
        <is>
          <t>Downpipe white</t>
        </is>
      </c>
      <c r="D24" t="inlineStr">
        <is>
          <t>Test Supplier C</t>
        </is>
      </c>
      <c r="E24" t="n">
        <v>9.9</v>
      </c>
      <c r="F24" t="inlineStr">
        <is>
          <t>TEST-OLD-912</t>
        </is>
      </c>
    </row>
    <row r="25">
      <c r="A25" t="inlineStr">
        <is>
          <t>2026-09-11</t>
        </is>
      </c>
      <c r="C25" t="inlineStr">
        <is>
          <t>Downpipe white</t>
        </is>
      </c>
      <c r="D25" t="inlineStr">
        <is>
          <t>Test Supplier C</t>
        </is>
      </c>
      <c r="E25" t="n">
        <v>11.25</v>
      </c>
      <c r="F25" t="inlineStr">
        <is>
          <t>TEST-INV-1002</t>
        </is>
      </c>
    </row>
    <row r="26">
      <c r="A26" t="inlineStr">
        <is>
          <t>11/09/2026</t>
        </is>
      </c>
      <c r="C26" t="inlineStr">
        <is>
          <t>Mortage bags(Glue)</t>
        </is>
      </c>
      <c r="D26" t="inlineStr">
        <is>
          <t>Test Supplier A</t>
        </is>
      </c>
      <c r="E26" t="n">
        <v>12.5</v>
      </c>
      <c r="F26" t="inlineStr">
        <is>
          <t>TEST-INV-1001</t>
        </is>
      </c>
    </row>
    <row r="27">
      <c r="A27" t="inlineStr">
        <is>
          <t>11/09/2026</t>
        </is>
      </c>
      <c r="C27" t="inlineStr">
        <is>
          <t>Soil bend 110mm x 90deg S/S black</t>
        </is>
      </c>
      <c r="D27" t="inlineStr">
        <is>
          <t>Test Supplier A</t>
        </is>
      </c>
      <c r="E27" t="n">
        <v>48</v>
      </c>
      <c r="F27" t="inlineStr">
        <is>
          <t>TEST-INV-1001</t>
        </is>
      </c>
    </row>
    <row r="28">
      <c r="A28" t="inlineStr">
        <is>
          <t>11/09/2026</t>
        </is>
      </c>
      <c r="B28" t="inlineStr">
        <is>
          <t>12236</t>
        </is>
      </c>
      <c r="C28" t="inlineStr">
        <is>
          <t>Board 20mm white</t>
        </is>
      </c>
      <c r="D28" t="inlineStr">
        <is>
          <t>Test Supplier A</t>
        </is>
      </c>
      <c r="E28" t="n">
        <v>72</v>
      </c>
      <c r="F28" t="inlineStr">
        <is>
          <t>TEST-INV-1001</t>
        </is>
      </c>
    </row>
    <row r="29">
      <c r="A29" t="inlineStr">
        <is>
          <t>11/09/2026</t>
        </is>
      </c>
      <c r="C29" t="inlineStr">
        <is>
          <t>Glue</t>
        </is>
      </c>
      <c r="D29" t="inlineStr">
        <is>
          <t>Test Supplier A</t>
        </is>
      </c>
      <c r="E29" t="n">
        <v>14</v>
      </c>
      <c r="F29" t="inlineStr">
        <is>
          <t>TEST-INV-1001</t>
        </is>
      </c>
    </row>
    <row r="30">
      <c r="A30" t="inlineStr">
        <is>
          <t>11/09/2026</t>
        </is>
      </c>
      <c r="B30" t="inlineStr">
        <is>
          <t>20921</t>
        </is>
      </c>
      <c r="C30" t="inlineStr">
        <is>
          <t>Window profile (2.4m)</t>
        </is>
      </c>
      <c r="D30" t="inlineStr">
        <is>
          <t>Test Supplier A</t>
        </is>
      </c>
      <c r="E30" t="n">
        <v>75</v>
      </c>
      <c r="F30" t="inlineStr">
        <is>
          <t>TEST-INV-1001</t>
        </is>
      </c>
    </row>
    <row r="31">
      <c r="A31" t="inlineStr">
        <is>
          <t>11/09/2026</t>
        </is>
      </c>
      <c r="B31" t="inlineStr">
        <is>
          <t>22593</t>
        </is>
      </c>
      <c r="C31" t="inlineStr">
        <is>
          <t>Starter track 100mm (2m)</t>
        </is>
      </c>
      <c r="D31" t="inlineStr">
        <is>
          <t>Test Supplier A</t>
        </is>
      </c>
      <c r="E31" t="n">
        <v>46.5</v>
      </c>
      <c r="F31" t="inlineStr">
        <is>
          <t>TEST-INV-1001</t>
        </is>
      </c>
    </row>
    <row r="32">
      <c r="A32" t="inlineStr">
        <is>
          <t>11/09/2026</t>
        </is>
      </c>
      <c r="C32" t="inlineStr">
        <is>
          <t>Mortage bags(Glue)</t>
        </is>
      </c>
      <c r="D32" t="inlineStr">
        <is>
          <t>Test Supplier A</t>
        </is>
      </c>
      <c r="E32" t="n">
        <v>12.5</v>
      </c>
      <c r="F32" t="inlineStr">
        <is>
          <t>TEST-INV-1001</t>
        </is>
      </c>
    </row>
    <row r="33">
      <c r="A33" t="inlineStr">
        <is>
          <t>11/09/2026</t>
        </is>
      </c>
      <c r="C33" t="inlineStr">
        <is>
          <t>Soil bend 110mm x 90deg S/S black</t>
        </is>
      </c>
      <c r="D33" t="inlineStr">
        <is>
          <t>Test Supplier A</t>
        </is>
      </c>
      <c r="E33" t="n">
        <v>48</v>
      </c>
      <c r="F33" t="inlineStr">
        <is>
          <t>TEST-INV-1001</t>
        </is>
      </c>
    </row>
    <row r="34">
      <c r="A34" t="inlineStr">
        <is>
          <t>11/09/2026</t>
        </is>
      </c>
      <c r="B34" t="inlineStr">
        <is>
          <t>12236</t>
        </is>
      </c>
      <c r="C34" t="inlineStr">
        <is>
          <t>Board 20mm white</t>
        </is>
      </c>
      <c r="D34" t="inlineStr">
        <is>
          <t>Test Supplier A</t>
        </is>
      </c>
      <c r="E34" t="n">
        <v>72</v>
      </c>
      <c r="F34" t="inlineStr">
        <is>
          <t>TEST-INV-1001</t>
        </is>
      </c>
    </row>
    <row r="35">
      <c r="A35" t="inlineStr">
        <is>
          <t>11/09/2026</t>
        </is>
      </c>
      <c r="C35" t="inlineStr">
        <is>
          <t>Glue</t>
        </is>
      </c>
      <c r="D35" t="inlineStr">
        <is>
          <t>Test Supplier A</t>
        </is>
      </c>
      <c r="E35" t="n">
        <v>14</v>
      </c>
      <c r="F35" t="inlineStr">
        <is>
          <t>TEST-INV-1001</t>
        </is>
      </c>
    </row>
    <row r="36">
      <c r="A36" t="inlineStr">
        <is>
          <t>11/09/2026</t>
        </is>
      </c>
      <c r="B36" t="inlineStr">
        <is>
          <t>20921</t>
        </is>
      </c>
      <c r="C36" t="inlineStr">
        <is>
          <t>Window profile (2.4m)</t>
        </is>
      </c>
      <c r="D36" t="inlineStr">
        <is>
          <t>Test Supplier A</t>
        </is>
      </c>
      <c r="E36" t="n">
        <v>75</v>
      </c>
      <c r="F36" t="inlineStr">
        <is>
          <t>TEST-INV-1001</t>
        </is>
      </c>
    </row>
    <row r="37">
      <c r="A37" t="inlineStr">
        <is>
          <t>11/09/2026</t>
        </is>
      </c>
      <c r="B37" t="inlineStr">
        <is>
          <t>22593</t>
        </is>
      </c>
      <c r="C37" t="inlineStr">
        <is>
          <t>Starter track 100mm (2m)</t>
        </is>
      </c>
      <c r="D37" t="inlineStr">
        <is>
          <t>Test Supplier A</t>
        </is>
      </c>
      <c r="E37" t="n">
        <v>46.5</v>
      </c>
      <c r="F37" t="inlineStr">
        <is>
          <t>TEST-INV-1001</t>
        </is>
      </c>
    </row>
    <row r="38">
      <c r="A38" t="inlineStr">
        <is>
          <t>11/09/2026</t>
        </is>
      </c>
      <c r="C38" t="inlineStr">
        <is>
          <t>Mortage bags(Glue)</t>
        </is>
      </c>
      <c r="D38" t="inlineStr">
        <is>
          <t>Test Supplier A</t>
        </is>
      </c>
      <c r="E38" t="n">
        <v>12.5</v>
      </c>
      <c r="F38" t="inlineStr">
        <is>
          <t>TEST-INV-1001</t>
        </is>
      </c>
    </row>
    <row r="39">
      <c r="A39" t="inlineStr">
        <is>
          <t>11/09/2026</t>
        </is>
      </c>
      <c r="C39" t="inlineStr">
        <is>
          <t>Soil bend 110mm x 90deg S/S black</t>
        </is>
      </c>
      <c r="D39" t="inlineStr">
        <is>
          <t>Test Supplier A</t>
        </is>
      </c>
      <c r="E39" t="n">
        <v>48</v>
      </c>
      <c r="F39" t="inlineStr">
        <is>
          <t>TEST-INV-1001</t>
        </is>
      </c>
    </row>
    <row r="40">
      <c r="A40" t="inlineStr">
        <is>
          <t>11/09/2026</t>
        </is>
      </c>
      <c r="B40" t="inlineStr">
        <is>
          <t>12236</t>
        </is>
      </c>
      <c r="C40" t="inlineStr">
        <is>
          <t>Board 20mm white</t>
        </is>
      </c>
      <c r="D40" t="inlineStr">
        <is>
          <t>Test Supplier A</t>
        </is>
      </c>
      <c r="E40" t="n">
        <v>72</v>
      </c>
      <c r="F40" t="inlineStr">
        <is>
          <t>TEST-INV-1001</t>
        </is>
      </c>
    </row>
    <row r="41">
      <c r="A41" t="inlineStr">
        <is>
          <t>11/09/2026</t>
        </is>
      </c>
      <c r="C41" t="inlineStr">
        <is>
          <t>Glue</t>
        </is>
      </c>
      <c r="D41" t="inlineStr">
        <is>
          <t>Test Supplier A</t>
        </is>
      </c>
      <c r="E41" t="n">
        <v>14</v>
      </c>
      <c r="F41" t="inlineStr">
        <is>
          <t>TEST-INV-1001</t>
        </is>
      </c>
    </row>
    <row r="42">
      <c r="A42" t="inlineStr">
        <is>
          <t>11/09/2026</t>
        </is>
      </c>
      <c r="B42" t="inlineStr">
        <is>
          <t>20921</t>
        </is>
      </c>
      <c r="C42" t="inlineStr">
        <is>
          <t>Window profile (2.4m)</t>
        </is>
      </c>
      <c r="D42" t="inlineStr">
        <is>
          <t>Test Supplier A</t>
        </is>
      </c>
      <c r="E42" t="n">
        <v>75</v>
      </c>
      <c r="F42" t="inlineStr">
        <is>
          <t>TEST-INV-1001</t>
        </is>
      </c>
    </row>
    <row r="43">
      <c r="A43" t="inlineStr">
        <is>
          <t>11/09/2026</t>
        </is>
      </c>
      <c r="B43" t="inlineStr">
        <is>
          <t>22593</t>
        </is>
      </c>
      <c r="C43" t="inlineStr">
        <is>
          <t>Starter track 100mm (2m)</t>
        </is>
      </c>
      <c r="D43" t="inlineStr">
        <is>
          <t>Test Supplier A</t>
        </is>
      </c>
      <c r="E43" t="n">
        <v>46.5</v>
      </c>
      <c r="F43" t="inlineStr">
        <is>
          <t>TEST-INV-1001</t>
        </is>
      </c>
    </row>
    <row r="44">
      <c r="A44" t="inlineStr">
        <is>
          <t>11/09/2026</t>
        </is>
      </c>
      <c r="C44" t="inlineStr">
        <is>
          <t>Mortage bags(Glue)</t>
        </is>
      </c>
      <c r="D44" t="inlineStr">
        <is>
          <t>Test Supplier A</t>
        </is>
      </c>
      <c r="E44" t="n">
        <v>12.5</v>
      </c>
      <c r="F44" t="inlineStr">
        <is>
          <t>TEST-INV-1001</t>
        </is>
      </c>
    </row>
    <row r="45">
      <c r="A45" t="inlineStr">
        <is>
          <t>11/09/2026</t>
        </is>
      </c>
      <c r="C45" t="inlineStr">
        <is>
          <t>Soil bend 110mm x 90deg S/S black</t>
        </is>
      </c>
      <c r="D45" t="inlineStr">
        <is>
          <t>Test Supplier A</t>
        </is>
      </c>
      <c r="E45" t="n">
        <v>48</v>
      </c>
      <c r="F45" t="inlineStr">
        <is>
          <t>TEST-INV-1001</t>
        </is>
      </c>
    </row>
    <row r="46">
      <c r="A46" t="inlineStr">
        <is>
          <t>11/09/2026</t>
        </is>
      </c>
      <c r="B46" t="inlineStr">
        <is>
          <t>12236</t>
        </is>
      </c>
      <c r="C46" t="inlineStr">
        <is>
          <t>Board 20mm white</t>
        </is>
      </c>
      <c r="D46" t="inlineStr">
        <is>
          <t>Test Supplier A</t>
        </is>
      </c>
      <c r="E46" t="n">
        <v>72</v>
      </c>
      <c r="F46" t="inlineStr">
        <is>
          <t>TEST-INV-1001</t>
        </is>
      </c>
    </row>
    <row r="47">
      <c r="A47" t="inlineStr">
        <is>
          <t>11/09/2026</t>
        </is>
      </c>
      <c r="C47" t="inlineStr">
        <is>
          <t>Glue</t>
        </is>
      </c>
      <c r="D47" t="inlineStr">
        <is>
          <t>Test Supplier A</t>
        </is>
      </c>
      <c r="E47" t="n">
        <v>14</v>
      </c>
      <c r="F47" t="inlineStr">
        <is>
          <t>TEST-INV-1001</t>
        </is>
      </c>
    </row>
    <row r="48">
      <c r="A48" t="inlineStr">
        <is>
          <t>11/09/2026</t>
        </is>
      </c>
      <c r="B48" t="inlineStr">
        <is>
          <t>20921</t>
        </is>
      </c>
      <c r="C48" t="inlineStr">
        <is>
          <t>Window profile (2.4m)</t>
        </is>
      </c>
      <c r="D48" t="inlineStr">
        <is>
          <t>Test Supplier A</t>
        </is>
      </c>
      <c r="E48" t="n">
        <v>75</v>
      </c>
      <c r="F48" t="inlineStr">
        <is>
          <t>TEST-INV-1001</t>
        </is>
      </c>
    </row>
    <row r="49">
      <c r="A49" t="inlineStr">
        <is>
          <t>11/09/2026</t>
        </is>
      </c>
      <c r="B49" t="inlineStr">
        <is>
          <t>22593</t>
        </is>
      </c>
      <c r="C49" t="inlineStr">
        <is>
          <t>Starter track 100mm (2m)</t>
        </is>
      </c>
      <c r="D49" t="inlineStr">
        <is>
          <t>Test Supplier A</t>
        </is>
      </c>
      <c r="E49" t="n">
        <v>46.5</v>
      </c>
      <c r="F49" t="inlineStr">
        <is>
          <t>TEST-INV-1001</t>
        </is>
      </c>
    </row>
    <row r="50">
      <c r="A50" t="inlineStr">
        <is>
          <t>11/09/2026</t>
        </is>
      </c>
      <c r="C50" t="inlineStr">
        <is>
          <t>Mortage bags(Glue)</t>
        </is>
      </c>
      <c r="D50" t="inlineStr">
        <is>
          <t>Test Supplier A</t>
        </is>
      </c>
      <c r="E50" t="n">
        <v>12.5</v>
      </c>
      <c r="F50" t="inlineStr">
        <is>
          <t>TEST-INV-1001</t>
        </is>
      </c>
    </row>
    <row r="51">
      <c r="A51" t="inlineStr">
        <is>
          <t>11/09/2026</t>
        </is>
      </c>
      <c r="C51" t="inlineStr">
        <is>
          <t>Soil bend 110mm x 90deg S/S black</t>
        </is>
      </c>
      <c r="D51" t="inlineStr">
        <is>
          <t>Test Supplier A</t>
        </is>
      </c>
      <c r="E51" t="n">
        <v>48</v>
      </c>
      <c r="F51" t="inlineStr">
        <is>
          <t>TEST-INV-1001</t>
        </is>
      </c>
    </row>
    <row r="52">
      <c r="A52" t="inlineStr">
        <is>
          <t>11/09/2026</t>
        </is>
      </c>
      <c r="B52" t="inlineStr">
        <is>
          <t>12236</t>
        </is>
      </c>
      <c r="C52" t="inlineStr">
        <is>
          <t>Board 20mm white</t>
        </is>
      </c>
      <c r="D52" t="inlineStr">
        <is>
          <t>Test Supplier A</t>
        </is>
      </c>
      <c r="E52" t="n">
        <v>72</v>
      </c>
      <c r="F52" t="inlineStr">
        <is>
          <t>TEST-INV-1001</t>
        </is>
      </c>
    </row>
    <row r="53">
      <c r="A53" t="inlineStr">
        <is>
          <t>11/09/2026</t>
        </is>
      </c>
      <c r="C53" t="inlineStr">
        <is>
          <t>Glue</t>
        </is>
      </c>
      <c r="D53" t="inlineStr">
        <is>
          <t>Test Supplier A</t>
        </is>
      </c>
      <c r="E53" t="n">
        <v>14</v>
      </c>
      <c r="F53" t="inlineStr">
        <is>
          <t>TEST-INV-1001</t>
        </is>
      </c>
    </row>
    <row r="54">
      <c r="A54" t="inlineStr">
        <is>
          <t>11/09/2026</t>
        </is>
      </c>
      <c r="B54" t="inlineStr">
        <is>
          <t>20921</t>
        </is>
      </c>
      <c r="C54" t="inlineStr">
        <is>
          <t>Window profile (2.4m)</t>
        </is>
      </c>
      <c r="D54" t="inlineStr">
        <is>
          <t>Test Supplier A</t>
        </is>
      </c>
      <c r="E54" t="n">
        <v>75</v>
      </c>
      <c r="F54" t="inlineStr">
        <is>
          <t>TEST-INV-1001</t>
        </is>
      </c>
    </row>
    <row r="55">
      <c r="A55" t="inlineStr">
        <is>
          <t>11/09/2026</t>
        </is>
      </c>
      <c r="B55" t="inlineStr">
        <is>
          <t>22593</t>
        </is>
      </c>
      <c r="C55" t="inlineStr">
        <is>
          <t>Starter track 100mm (2m)</t>
        </is>
      </c>
      <c r="D55" t="inlineStr">
        <is>
          <t>Test Supplier A</t>
        </is>
      </c>
      <c r="E55" t="n">
        <v>46.5</v>
      </c>
      <c r="F55" t="inlineStr">
        <is>
          <t>TEST-INV-1001</t>
        </is>
      </c>
    </row>
    <row r="56">
      <c r="A56" t="inlineStr">
        <is>
          <t>11/09/2026</t>
        </is>
      </c>
      <c r="C56" t="inlineStr">
        <is>
          <t>Mortage bags(Glue)</t>
        </is>
      </c>
      <c r="D56" t="inlineStr">
        <is>
          <t>Test Supplier A</t>
        </is>
      </c>
      <c r="E56" t="n">
        <v>12.5</v>
      </c>
      <c r="F56" t="inlineStr">
        <is>
          <t>TEST-INV-1001</t>
        </is>
      </c>
    </row>
    <row r="57">
      <c r="A57" t="inlineStr">
        <is>
          <t>11/09/2026</t>
        </is>
      </c>
      <c r="C57" t="inlineStr">
        <is>
          <t>Soil bend 110mm x 90deg S/S black</t>
        </is>
      </c>
      <c r="D57" t="inlineStr">
        <is>
          <t>Test Supplier A</t>
        </is>
      </c>
      <c r="E57" t="n">
        <v>48</v>
      </c>
      <c r="F57" t="inlineStr">
        <is>
          <t>TEST-INV-1001</t>
        </is>
      </c>
    </row>
    <row r="58">
      <c r="A58" t="inlineStr">
        <is>
          <t>11/09/2026</t>
        </is>
      </c>
      <c r="B58" t="inlineStr">
        <is>
          <t>12236</t>
        </is>
      </c>
      <c r="C58" t="inlineStr">
        <is>
          <t>Board 20mm white</t>
        </is>
      </c>
      <c r="D58" t="inlineStr">
        <is>
          <t>Test Supplier A</t>
        </is>
      </c>
      <c r="E58" t="n">
        <v>72</v>
      </c>
      <c r="F58" t="inlineStr">
        <is>
          <t>TEST-INV-1001</t>
        </is>
      </c>
    </row>
    <row r="59">
      <c r="A59" t="inlineStr">
        <is>
          <t>11/09/2026</t>
        </is>
      </c>
      <c r="C59" t="inlineStr">
        <is>
          <t>Glue</t>
        </is>
      </c>
      <c r="D59" t="inlineStr">
        <is>
          <t>Test Supplier A</t>
        </is>
      </c>
      <c r="E59" t="n">
        <v>14</v>
      </c>
      <c r="F59" t="inlineStr">
        <is>
          <t>TEST-INV-1001</t>
        </is>
      </c>
    </row>
    <row r="60">
      <c r="A60" t="inlineStr">
        <is>
          <t>11/09/2026</t>
        </is>
      </c>
      <c r="B60" t="inlineStr">
        <is>
          <t>20921</t>
        </is>
      </c>
      <c r="C60" t="inlineStr">
        <is>
          <t>Window profile (2.4m)</t>
        </is>
      </c>
      <c r="D60" t="inlineStr">
        <is>
          <t>Test Supplier A</t>
        </is>
      </c>
      <c r="E60" t="n">
        <v>75</v>
      </c>
      <c r="F60" t="inlineStr">
        <is>
          <t>TEST-INV-1001</t>
        </is>
      </c>
    </row>
    <row r="61">
      <c r="A61" t="inlineStr">
        <is>
          <t>11/09/2026</t>
        </is>
      </c>
      <c r="B61" t="inlineStr">
        <is>
          <t>22593</t>
        </is>
      </c>
      <c r="C61" t="inlineStr">
        <is>
          <t>Starter track 100mm (2m)</t>
        </is>
      </c>
      <c r="D61" t="inlineStr">
        <is>
          <t>Test Supplier A</t>
        </is>
      </c>
      <c r="E61" t="n">
        <v>46.5</v>
      </c>
      <c r="F61" t="inlineStr">
        <is>
          <t>TEST-INV-1001</t>
        </is>
      </c>
    </row>
    <row r="62">
      <c r="A62" t="inlineStr">
        <is>
          <t>11/09/2026</t>
        </is>
      </c>
      <c r="C62" t="inlineStr">
        <is>
          <t>Mortage bags(Glue)</t>
        </is>
      </c>
      <c r="D62" t="inlineStr">
        <is>
          <t>Test Supplier A</t>
        </is>
      </c>
      <c r="E62" t="n">
        <v>12.5</v>
      </c>
      <c r="F62" t="inlineStr">
        <is>
          <t>TEST-INV-1001</t>
        </is>
      </c>
    </row>
    <row r="63">
      <c r="A63" t="inlineStr">
        <is>
          <t>11/09/2026</t>
        </is>
      </c>
      <c r="C63" t="inlineStr">
        <is>
          <t>Soil bend 110mm x 90deg S/S black</t>
        </is>
      </c>
      <c r="D63" t="inlineStr">
        <is>
          <t>Test Supplier A</t>
        </is>
      </c>
      <c r="E63" t="n">
        <v>48</v>
      </c>
      <c r="F63" t="inlineStr">
        <is>
          <t>TEST-INV-1001</t>
        </is>
      </c>
    </row>
    <row r="64">
      <c r="A64" t="inlineStr">
        <is>
          <t>11/09/2026</t>
        </is>
      </c>
      <c r="B64" t="inlineStr">
        <is>
          <t>12236</t>
        </is>
      </c>
      <c r="C64" t="inlineStr">
        <is>
          <t>Board 20mm white</t>
        </is>
      </c>
      <c r="D64" t="inlineStr">
        <is>
          <t>Test Supplier A</t>
        </is>
      </c>
      <c r="E64" t="n">
        <v>72</v>
      </c>
      <c r="F64" t="inlineStr">
        <is>
          <t>TEST-INV-1001</t>
        </is>
      </c>
    </row>
    <row r="65">
      <c r="A65" t="inlineStr">
        <is>
          <t>11/09/2026</t>
        </is>
      </c>
      <c r="C65" t="inlineStr">
        <is>
          <t>Glue</t>
        </is>
      </c>
      <c r="D65" t="inlineStr">
        <is>
          <t>Test Supplier A</t>
        </is>
      </c>
      <c r="E65" t="n">
        <v>14</v>
      </c>
      <c r="F65" t="inlineStr">
        <is>
          <t>TEST-INV-1001</t>
        </is>
      </c>
    </row>
    <row r="66">
      <c r="A66" t="inlineStr">
        <is>
          <t>11/09/2026</t>
        </is>
      </c>
      <c r="B66" t="inlineStr">
        <is>
          <t>20921</t>
        </is>
      </c>
      <c r="C66" t="inlineStr">
        <is>
          <t>Window profile (2.4m)</t>
        </is>
      </c>
      <c r="D66" t="inlineStr">
        <is>
          <t>Test Supplier A</t>
        </is>
      </c>
      <c r="E66" t="n">
        <v>75</v>
      </c>
      <c r="F66" t="inlineStr">
        <is>
          <t>TEST-INV-1001</t>
        </is>
      </c>
    </row>
    <row r="67">
      <c r="A67" t="inlineStr">
        <is>
          <t>11/09/2026</t>
        </is>
      </c>
      <c r="B67" t="inlineStr">
        <is>
          <t>22593</t>
        </is>
      </c>
      <c r="C67" t="inlineStr">
        <is>
          <t>Starter track 100mm (2m)</t>
        </is>
      </c>
      <c r="D67" t="inlineStr">
        <is>
          <t>Test Supplier A</t>
        </is>
      </c>
      <c r="E67" t="n">
        <v>46.5</v>
      </c>
      <c r="F67" t="inlineStr">
        <is>
          <t>TEST-INV-1001</t>
        </is>
      </c>
    </row>
    <row r="68">
      <c r="A68" t="inlineStr">
        <is>
          <t>11/09/2026</t>
        </is>
      </c>
      <c r="C68" t="inlineStr">
        <is>
          <t>Mortage bags(Glue)</t>
        </is>
      </c>
      <c r="D68" t="inlineStr">
        <is>
          <t>Test Supplier A</t>
        </is>
      </c>
      <c r="E68" t="n">
        <v>12.5</v>
      </c>
      <c r="F68" t="inlineStr">
        <is>
          <t>TEST-INV-1001</t>
        </is>
      </c>
    </row>
    <row r="69">
      <c r="A69" t="inlineStr">
        <is>
          <t>11/09/2026</t>
        </is>
      </c>
      <c r="C69" t="inlineStr">
        <is>
          <t>Soil bend 110mm x 90deg S/S black</t>
        </is>
      </c>
      <c r="D69" t="inlineStr">
        <is>
          <t>Test Supplier A</t>
        </is>
      </c>
      <c r="E69" t="n">
        <v>48</v>
      </c>
      <c r="F69" t="inlineStr">
        <is>
          <t>TEST-INV-1001</t>
        </is>
      </c>
    </row>
    <row r="70">
      <c r="A70" t="inlineStr">
        <is>
          <t>11/09/2026</t>
        </is>
      </c>
      <c r="B70" t="inlineStr">
        <is>
          <t>12236</t>
        </is>
      </c>
      <c r="C70" t="inlineStr">
        <is>
          <t>Board 20mm white</t>
        </is>
      </c>
      <c r="D70" t="inlineStr">
        <is>
          <t>Test Supplier A</t>
        </is>
      </c>
      <c r="E70" t="n">
        <v>72</v>
      </c>
      <c r="F70" t="inlineStr">
        <is>
          <t>TEST-INV-1001</t>
        </is>
      </c>
    </row>
    <row r="71">
      <c r="A71" t="inlineStr">
        <is>
          <t>11/09/2026</t>
        </is>
      </c>
      <c r="C71" t="inlineStr">
        <is>
          <t>Glue</t>
        </is>
      </c>
      <c r="D71" t="inlineStr">
        <is>
          <t>Test Supplier A</t>
        </is>
      </c>
      <c r="E71" t="n">
        <v>14</v>
      </c>
      <c r="F71" t="inlineStr">
        <is>
          <t>TEST-INV-1001</t>
        </is>
      </c>
    </row>
    <row r="72">
      <c r="A72" t="inlineStr">
        <is>
          <t>11/09/2026</t>
        </is>
      </c>
      <c r="B72" t="inlineStr">
        <is>
          <t>20921</t>
        </is>
      </c>
      <c r="C72" t="inlineStr">
        <is>
          <t>Window profile (2.4m)</t>
        </is>
      </c>
      <c r="D72" t="inlineStr">
        <is>
          <t>Test Supplier A</t>
        </is>
      </c>
      <c r="E72" t="n">
        <v>75</v>
      </c>
      <c r="F72" t="inlineStr">
        <is>
          <t>TEST-INV-1001</t>
        </is>
      </c>
    </row>
    <row r="73">
      <c r="A73" t="inlineStr">
        <is>
          <t>11/09/2026</t>
        </is>
      </c>
      <c r="B73" t="inlineStr">
        <is>
          <t>22593</t>
        </is>
      </c>
      <c r="C73" t="inlineStr">
        <is>
          <t>Starter track 100mm (2m)</t>
        </is>
      </c>
      <c r="D73" t="inlineStr">
        <is>
          <t>Test Supplier A</t>
        </is>
      </c>
      <c r="E73" t="n">
        <v>46.5</v>
      </c>
      <c r="F73" t="inlineStr">
        <is>
          <t>TEST-INV-1001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2026-09-03T13:12:08Z</dcterms:created>
  <dcterms:modified xsi:type="dcterms:W3CDTF">2026-09-11T08:49:32Z</dcterms:modified>
</cp:coreProperties>
</file>